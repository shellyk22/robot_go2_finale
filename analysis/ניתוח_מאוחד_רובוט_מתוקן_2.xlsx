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טבלת אב" sheetId="1" state="visible" r:id="rId3"/>
    <sheet name="ניתוח חי — זמנים" sheetId="2" state="visible" r:id="rId4"/>
    <sheet name="ניתוח חי — שאלונים" sheetId="3" state="visible" r:id="rId5"/>
    <sheet name="מסקנות — אחוזים" sheetId="4" state="visible" r:id="rId6"/>
    <sheet name="ניתוח משולב" sheetId="5" state="visible" r:id="rId7"/>
    <sheet name="השערת הרצועה" sheetId="6" state="visible" r:id="rId8"/>
    <sheet name="השערת הרצועה — תחושתי" sheetId="7" state="visible" r:id="rId9"/>
    <sheet name="ממצאים נוספים" sheetId="8" state="visible" r:id="rId10"/>
    <sheet name="שאלונים — חוויה" sheetId="9" state="visible" r:id="rId11"/>
    <sheet name="שאלונים — פרדוקס הרצועה" sheetId="10" state="visible" r:id="rId12"/>
    <sheet name="מסקנות — קוד הרובוט" sheetId="11" state="visible" r:id="rId13"/>
    <sheet name="מסקנות — מודל החיזוי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<sst xmlns="http://schemas.openxmlformats.org/spreadsheetml/2006/main" count="896" uniqueCount="433">
  <si>
    <t xml:space="preserve">מקור</t>
  </si>
  <si>
    <t xml:space="preserve">נסיין</t>
  </si>
  <si>
    <t xml:space="preserve">מגדר</t>
  </si>
  <si>
    <t xml:space="preserve">סדר</t>
  </si>
  <si>
    <t xml:space="preserve">זמן A (לבד)</t>
  </si>
  <si>
    <t xml:space="preserve">זמן B (כלב)</t>
  </si>
  <si>
    <t xml:space="preserve">זמן B2 (כלב#2)</t>
  </si>
  <si>
    <t xml:space="preserve">זמן C (רצועה)</t>
  </si>
  <si>
    <t xml:space="preserve">האטה B−A</t>
  </si>
  <si>
    <t xml:space="preserve">האטה C−A</t>
  </si>
  <si>
    <t xml:space="preserve">התרגלות B1−B2</t>
  </si>
  <si>
    <t xml:space="preserve">טבעי A</t>
  </si>
  <si>
    <t xml:space="preserve">בטוח A</t>
  </si>
  <si>
    <t xml:space="preserve">קצב A</t>
  </si>
  <si>
    <t xml:space="preserve">שינוי A</t>
  </si>
  <si>
    <t xml:space="preserve">טבעי B</t>
  </si>
  <si>
    <t xml:space="preserve">בטוח B</t>
  </si>
  <si>
    <t xml:space="preserve">קצב B</t>
  </si>
  <si>
    <t xml:space="preserve">שינוי B</t>
  </si>
  <si>
    <t xml:space="preserve">נוח B</t>
  </si>
  <si>
    <t xml:space="preserve">טבעי C</t>
  </si>
  <si>
    <t xml:space="preserve">בטוח C</t>
  </si>
  <si>
    <t xml:space="preserve">קצב C</t>
  </si>
  <si>
    <t xml:space="preserve">שינוי C</t>
  </si>
  <si>
    <t xml:space="preserve">נוח C</t>
  </si>
  <si>
    <t xml:space="preserve">חשש</t>
  </si>
  <si>
    <t xml:space="preserve">שותף</t>
  </si>
  <si>
    <t xml:space="preserve">ביטחון-ללא</t>
  </si>
  <si>
    <t xml:space="preserve">ביטחון-עם</t>
  </si>
  <si>
    <t xml:space="preserve">שליטה-ללא</t>
  </si>
  <si>
    <t xml:space="preserve">שליטה-עם</t>
  </si>
  <si>
    <t xml:space="preserve">הנאה</t>
  </si>
  <si>
    <t xml:space="preserve">מוטיבציה</t>
  </si>
  <si>
    <t xml:space="preserve">Δטבעי B−A</t>
  </si>
  <si>
    <t xml:space="preserve">Δבטוח B−A</t>
  </si>
  <si>
    <t xml:space="preserve">Δקצב B−A</t>
  </si>
  <si>
    <t xml:space="preserve">Δשינוי B−A</t>
  </si>
  <si>
    <t xml:space="preserve">Δביטחון רצועה</t>
  </si>
  <si>
    <t xml:space="preserve">Δשליטה רצועה</t>
  </si>
  <si>
    <t xml:space="preserve">הפרש C−B</t>
  </si>
  <si>
    <t xml:space="preserve">% האטה B</t>
  </si>
  <si>
    <t xml:space="preserve">% האטה C</t>
  </si>
  <si>
    <t xml:space="preserve">% האטה B2</t>
  </si>
  <si>
    <t xml:space="preserve">ABB</t>
  </si>
  <si>
    <t xml:space="preserve">אישה</t>
  </si>
  <si>
    <t xml:space="preserve">A, B, B</t>
  </si>
  <si>
    <t xml:space="preserve">לא</t>
  </si>
  <si>
    <t xml:space="preserve">בהליכה עם רצועה</t>
  </si>
  <si>
    <t xml:space="preserve">גבר</t>
  </si>
  <si>
    <t xml:space="preserve">B, A, B</t>
  </si>
  <si>
    <t xml:space="preserve">B, B, A</t>
  </si>
  <si>
    <t xml:space="preserve">אף פעם לא הרגשתי שהוא שותף להליכה</t>
  </si>
  <si>
    <t xml:space="preserve">ABC</t>
  </si>
  <si>
    <t xml:space="preserve">BAC</t>
  </si>
  <si>
    <t xml:space="preserve">כן</t>
  </si>
  <si>
    <t xml:space="preserve">CAB</t>
  </si>
  <si>
    <t xml:space="preserve">לא הרגשתי הבדל בין המצבים</t>
  </si>
  <si>
    <t xml:space="preserve">ACB</t>
  </si>
  <si>
    <t xml:space="preserve">BCA</t>
  </si>
  <si>
    <t xml:space="preserve">בהליכה ללא רצועה</t>
  </si>
  <si>
    <t xml:space="preserve">CBA</t>
  </si>
  <si>
    <t xml:space="preserve">ניתוח חי — זמני הליכה</t>
  </si>
  <si>
    <t xml:space="preserve">כל הערכים מחושבים בנוסחאות אקסל מתוך גיליון 'טבלת אב'. שינוי כל נתון שם יעדכן את כל המספרים כאן אוטומטית. מבחני t מזווגים ומתאמים הם פרמטריים (המקבילה של אקסל למבחנים הלא-פרמטריים בגיליונות הנרטיב). ה־N משתנה בין השוואה להשוואה מפני שכל מבחן מזווג כולל רק נסיינים שיש להם שני הערכים הרלוונטיים.</t>
  </si>
  <si>
    <t xml:space="preserve">① טבלת השוואה מרכזית (שניות)</t>
  </si>
  <si>
    <t xml:space="preserve">מדד</t>
  </si>
  <si>
    <t xml:space="preserve">A — לבד</t>
  </si>
  <si>
    <t xml:space="preserve">B — כלב</t>
  </si>
  <si>
    <t xml:space="preserve">C — רצועה</t>
  </si>
  <si>
    <t xml:space="preserve">B2 — כלב#2</t>
  </si>
  <si>
    <t xml:space="preserve">ממוצע</t>
  </si>
  <si>
    <t xml:space="preserve">חציון</t>
  </si>
  <si>
    <t xml:space="preserve">סטיית תקן</t>
  </si>
  <si>
    <t xml:space="preserve">מינימום</t>
  </si>
  <si>
    <t xml:space="preserve">מקסימום</t>
  </si>
  <si>
    <t xml:space="preserve">N (נסיינים)</t>
  </si>
  <si>
    <t xml:space="preserve">② השפעת הכלב — לבד מול כלב בלי רצועה (B−A)</t>
  </si>
  <si>
    <t xml:space="preserve">הפרש ממוצע (שנ')</t>
  </si>
  <si>
    <t xml:space="preserve">% שהואטו (הפרש&gt;0)</t>
  </si>
  <si>
    <t xml:space="preserve">t (מבחן t מזווג)</t>
  </si>
  <si>
    <t xml:space="preserve">p-value</t>
  </si>
  <si>
    <t xml:space="preserve">N (זוגות)</t>
  </si>
  <si>
    <t xml:space="preserve">③ השפעת הכלב עם רצועה — לבד מול C (C−A)</t>
  </si>
  <si>
    <t xml:space="preserve">④ רצועה מול בלי רצועה (C−B)</t>
  </si>
  <si>
    <t xml:space="preserve">% איטי יותר עם רצועה</t>
  </si>
  <si>
    <t xml:space="preserve">⑤ התרגלות — הליכת כלב 1 מול 2 (B1−B2)</t>
  </si>
  <si>
    <t xml:space="preserve">% שהשתפרו (הפרש&gt;0)</t>
  </si>
  <si>
    <t xml:space="preserve">⑥ פילוח לפי מקור ומגדר</t>
  </si>
  <si>
    <t xml:space="preserve">ממוצע A — ניסוי ABC</t>
  </si>
  <si>
    <t xml:space="preserve">ממוצע A — ניסוי ABB</t>
  </si>
  <si>
    <t xml:space="preserve">ממוצע B — ניסוי ABC</t>
  </si>
  <si>
    <t xml:space="preserve">ממוצע B — ניסוי ABB</t>
  </si>
  <si>
    <t xml:space="preserve">האטה B−A — גברים</t>
  </si>
  <si>
    <t xml:space="preserve">האטה B−A — נשים</t>
  </si>
  <si>
    <t xml:space="preserve">ניתוח חי — שאלונים</t>
  </si>
  <si>
    <t xml:space="preserve">סולם 1–9. כל המספרים נוסחאות חיות מתוך 'טבלת אב'. </t>
  </si>
  <si>
    <t xml:space="preserve">① חוויה סובייקטיבית לפי תנאי</t>
  </si>
  <si>
    <t xml:space="preserve">היגד</t>
  </si>
  <si>
    <t xml:space="preserve">לבד (A)</t>
  </si>
  <si>
    <t xml:space="preserve">כלב (B)</t>
  </si>
  <si>
    <t xml:space="preserve">רצועה (C)</t>
  </si>
  <si>
    <t xml:space="preserve">הרגיש טבעי</t>
  </si>
  <si>
    <t xml:space="preserve">הרגשתי בטוח</t>
  </si>
  <si>
    <t xml:space="preserve">שמרתי על הקצב</t>
  </si>
  <si>
    <t xml:space="preserve">צורך לשנות קצב</t>
  </si>
  <si>
    <t xml:space="preserve">② השפעת הכלב על החוויה (A מול B, מבחן t מזווג)</t>
  </si>
  <si>
    <t xml:space="preserve">הפרש B−A</t>
  </si>
  <si>
    <t xml:space="preserve">t</t>
  </si>
  <si>
    <t xml:space="preserve">③ פרדוקס הרצועה (מתוך שאלון סיכום)</t>
  </si>
  <si>
    <t xml:space="preserve">ביטחון — בלי רצועה</t>
  </si>
  <si>
    <t xml:space="preserve">ביטחון — עם רצועה</t>
  </si>
  <si>
    <t xml:space="preserve">t (ביטחון בלי מול עם)</t>
  </si>
  <si>
    <t xml:space="preserve">p-value (ביטחון)</t>
  </si>
  <si>
    <t xml:space="preserve">שליטה — בלי רצועה</t>
  </si>
  <si>
    <t xml:space="preserve">שליטה — עם רצועה</t>
  </si>
  <si>
    <t xml:space="preserve">t (שליטה בלי מול עם)</t>
  </si>
  <si>
    <t xml:space="preserve">p-value (שליטה)</t>
  </si>
  <si>
    <t xml:space="preserve">④ 'שותף' מול 'מכשיר' — ספירת תשובות</t>
  </si>
  <si>
    <t xml:space="preserve">חשו שותף — עם רצועה</t>
  </si>
  <si>
    <t xml:space="preserve">חשו שותף — בלי רצועה</t>
  </si>
  <si>
    <t xml:space="preserve">לא הרגישו הבדל</t>
  </si>
  <si>
    <t xml:space="preserve">אף פעם לא שותף</t>
  </si>
  <si>
    <t xml:space="preserve">⑤ קישור: דירוג סובייקטיבי מול האטה בפועל (מתאם)</t>
  </si>
  <si>
    <t xml:space="preserve">מתאם פירסון בין ההאטה האובייקטיבית (B−A) לבין הדירוג בשאלון B. שלילי = דירוג גבוה קשור להאטה קטנה.</t>
  </si>
  <si>
    <t xml:space="preserve">'שמרתי על הקצב' מול האטה</t>
  </si>
  <si>
    <t xml:space="preserve">'הרגיש טבעי' מול האטה</t>
  </si>
  <si>
    <t xml:space="preserve">'צורך לשנות' מול האטה</t>
  </si>
  <si>
    <t xml:space="preserve">'הרגשתי בטוח' מול האטה</t>
  </si>
  <si>
    <t xml:space="preserve">⑥ קבלה כללית</t>
  </si>
  <si>
    <t xml:space="preserve">הנאה מהחוויה (1–9)</t>
  </si>
  <si>
    <t xml:space="preserve">מוטיבציה להליכה ארוכה (1–9)</t>
  </si>
  <si>
    <t xml:space="preserve">חשו חשש כלשהו</t>
  </si>
  <si>
    <t xml:space="preserve">לא חשו חשש</t>
  </si>
  <si>
    <t xml:space="preserve">מסקנות — אחוזי האטה</t>
  </si>
  <si>
    <t xml:space="preserve">כל האחוזים = האטה יחסית למהירות ההליכה-לבד של כל נסיין. השניות בעמודת-צד לעיון. מדגם מלא — כל 97 הנסיינים, כולל כל הראשונים ו-139, עם ההשלמות שמולאו.</t>
  </si>
  <si>
    <t xml:space="preserve">① הכלב מאט את ההליכה — והמס יורד עם ההיכרות</t>
  </si>
  <si>
    <t xml:space="preserve">שלב</t>
  </si>
  <si>
    <t xml:space="preserve">% האטה</t>
  </si>
  <si>
    <t xml:space="preserve">בשניות (לעיון)</t>
  </si>
  <si>
    <t xml:space="preserve">מפגש ראשון עם הכלב</t>
  </si>
  <si>
    <t xml:space="preserve">+14.3%</t>
  </si>
  <si>
    <t xml:space="preserve">+2.12 שנ'</t>
  </si>
  <si>
    <t xml:space="preserve">הליכה שנייה (אחרי היכרות)</t>
  </si>
  <si>
    <t xml:space="preserve">+8.2%</t>
  </si>
  <si>
    <t xml:space="preserve">+1.21 שנ'</t>
  </si>
  <si>
    <t xml:space="preserve">הרובוט מאט אנשים בכ-14% במפגש הראשון, ויורד לכ-8% כבר בהליכה השנייה. זהו הממצא המרכזי.</t>
  </si>
  <si>
    <t xml:space="preserve">② התרגלות — האפקט הזמני האמיתי היחיד</t>
  </si>
  <si>
    <t xml:space="preserve">% שיפור</t>
  </si>
  <si>
    <t xml:space="preserve">ההליכה השנייה מהירה מהראשונה</t>
  </si>
  <si>
    <t xml:space="preserve">4.5%</t>
  </si>
  <si>
    <t xml:space="preserve">+0.90 שנ'</t>
  </si>
  <si>
    <t xml:space="preserve">עקבי בשני הניסויים ומובהק (p=0.0006, n=87). אנשים מסתגלים לרובוט אחרי מפגש אחד.</t>
  </si>
  <si>
    <t xml:space="preserve">③ הרצועה — אפס השפעה על המהירות (בכל דרך שנבדקה)</t>
  </si>
  <si>
    <t xml:space="preserve">השוואה</t>
  </si>
  <si>
    <t xml:space="preserve">בלי רצועה</t>
  </si>
  <si>
    <t xml:space="preserve">עם רצועה</t>
  </si>
  <si>
    <t xml:space="preserve">p</t>
  </si>
  <si>
    <t xml:space="preserve">האטה כללית (כל B מול כל C)</t>
  </si>
  <si>
    <t xml:space="preserve">≈</t>
  </si>
  <si>
    <t xml:space="preserve">מפגש ראשון</t>
  </si>
  <si>
    <t xml:space="preserve">+16.3%</t>
  </si>
  <si>
    <t xml:space="preserve">+12.2%</t>
  </si>
  <si>
    <t xml:space="preserve">0.34</t>
  </si>
  <si>
    <t xml:space="preserve">הליכה שנייה — C→B מול B→B</t>
  </si>
  <si>
    <t xml:space="preserve">+6.2% (C→B)</t>
  </si>
  <si>
    <t xml:space="preserve">+6.6% (B→B)</t>
  </si>
  <si>
    <t xml:space="preserve">0.77</t>
  </si>
  <si>
    <t xml:space="preserve">בלי הבדל מובהק באף השוואה: לא בהליכה עצמה, לא במפגש הראשון, ולא כהכנה להליכה הבאה. הרצועה אינה כלי מהירות. (השורה הראשונה חיה — מתעדכנת מטבלת האב.)</t>
  </si>
  <si>
    <t xml:space="preserve">④ הרצועה — כן משפיעה, אבל על החוויה (סולם 1–9, לא אחוזים)</t>
  </si>
  <si>
    <t xml:space="preserve">מדד סובייקטיבי</t>
  </si>
  <si>
    <t xml:space="preserve">תחושת ביטחון</t>
  </si>
  <si>
    <t xml:space="preserve">7.01</t>
  </si>
  <si>
    <t xml:space="preserve">7.37</t>
  </si>
  <si>
    <t xml:space="preserve">תחושת שליטה</t>
  </si>
  <si>
    <t xml:space="preserve">6.01</t>
  </si>
  <si>
    <t xml:space="preserve">6.79</t>
  </si>
  <si>
    <t xml:space="preserve">חשו שהכלב 'שותף'</t>
  </si>
  <si>
    <t xml:space="preserve">17 נסיינים</t>
  </si>
  <si>
    <t xml:space="preserve">42 נסיינים</t>
  </si>
  <si>
    <t xml:space="preserve">הרצועה כלי חברתי-פסיכולוגי: מעלה ביטחון, שליטה ותחושת שותפות — בלי לגעת במהירות.</t>
  </si>
  <si>
    <t xml:space="preserve">תמונה כוללת</t>
  </si>
  <si>
    <t xml:space="preserve">הכלב מאט אנשים בכ-14% בהתחלה, יורד לכ-8% אחרי היכרות (התרגלות של ~6 נקודות אחוז), ומתייצב שם. הרצועה לא משנה מהירות כלל — היא בונה אמון ותחושה. פער ה-8% הנותר הוא היעד שמודל החיזוי נועד לסגור.</t>
  </si>
  <si>
    <t xml:space="preserve">הערות: מדגם מלא (97 נסיינים) לאחר הוספת ההשלמות (106,123,126,136,155,168,179,181). אחוזי המפגש/הסדר מחושבים על תת-קבוצות לפי סדר ההליכות; השניות המקבילות חיות בגיליון הזמנים.</t>
  </si>
  <si>
    <t xml:space="preserve">ניתוח משולב — השפעת הכלב הרובוטי על מהירות ההליכה</t>
  </si>
  <si>
    <t xml:space="preserve">איחוד שני הניסויים: ABC (מלא, 73 נסיינים בשלושת התנאים) + ABB (חוזר, 20 נסיינים). המדד: זמן השלמת מסלול קבוע. זמן נמוך = מהיר יותר.</t>
  </si>
  <si>
    <t xml:space="preserve">① הכלב מאט את ההליכה — הממצא החזק והחוזר ביותר</t>
  </si>
  <si>
    <t xml:space="preserve">באיגום שני הניסויים (n=92): לבד 15.49 שנ' → מפגש ראשון עם הכלב 17.28 שנ'. 79% מהנסיינים הלכו לאט יותר עם הכלב (פער חציוני +1.50 שנ', Wilcoxon p&lt;0.0001).</t>
  </si>
  <si>
    <t xml:space="preserve">האפקט חוזר בנפרד בכל ניסוי: ABC נתן +1.40 שנ' (p&lt;1e-8), ABB נתן +2.03 שנ' (p&lt;1e-4). עצם נוכחות הכלב — לא הרצועה — הוא שמאט.</t>
  </si>
  <si>
    <t xml:space="preserve">② התרגלות אמיתית — התרומה הייחודית של ניסוי ABB</t>
  </si>
  <si>
    <t xml:space="preserve">בניסוי ABB כל נסיין ביצע שתי הליכות כלב זהות (בלי רצועה). זה מבודד 'התרגלות טהורה' בלי בלבול עם שינוי תנאי — מה שלא ניתן היה לבודד ב-ABC לבדו.</t>
  </si>
  <si>
    <t xml:space="preserve">הליכת כלב ראשונה (B1) 17.57 שנ' → הליכת כלב שנייה (B2) 16.28 שנ'. שיפור ממוצע 0.84 שנ', 68% הואצו, Wilcoxon p=0.014. אחרי מפגש אחד ההליכה השנייה מהירה יותר.</t>
  </si>
  <si>
    <t xml:space="preserve">③ אבל ה'מס' של הכלב לא נעלם לגמרי</t>
  </si>
  <si>
    <t xml:space="preserve">גם בהליכת הכלב השנייה, אחרי ההתרגלות, הנסיינים עדיין איטיים מהליכה לבד: B2 16.28 מול A 15.29 — 79% עדיין איטיים יותר (p=0.006), פער שיורי ~1 שנ'.</t>
  </si>
  <si>
    <t xml:space="preserve">מסקנה: ההתרגלות מקטינה את ההאטה בערך בחצי, אך נותר מס קבוע של כשנייה על עצם ההליכה לצד הכלב.</t>
  </si>
  <si>
    <t xml:space="preserve">④ הרצועה כמעט לא משנה</t>
  </si>
  <si>
    <t xml:space="preserve">מ-ABC: כלב בלי רצועה (B) 17.20 מול כלב עם רצועה (C) 17.39 — הפרש לא מובהק (p=0.15). ABB, שכולו בלי רצועה, עקבי עם זה: הסיפור הוא הכלב, לא הרצועה.</t>
  </si>
  <si>
    <t xml:space="preserve">⑤ ניואנסים: סדר ומגדר (מתוך ABB)</t>
  </si>
  <si>
    <t xml:space="preserve">סדר B,A,B (המפגש הראשון הוא כבר עם הכלב) נתן את B1 האיטי ביותר — 19.45 שנ' — עקבי עם 'הלם' מפגש קר. גברים הראו האטה גדולה יותר (+2.78) והתרגלות גדולה יותר; נשים נותרו יציבות בין B1 ל-B2 (n=7, זהירות).</t>
  </si>
  <si>
    <t xml:space="preserve">הכלב הרובוטי מאט את ההליכה באופן חזק ומובהק (מאושר על 92 נסיינים). אנשים מתרגלים אליו — ההליכה השנייה עם הכלב מהירה מהראשונה — אך נותרת האטה שיורית של כשנייה שלא נעלמת. הרצועה אינה גורם משמעותי.</t>
  </si>
  <si>
    <t xml:space="preserve">הערות מתודולוגיה</t>
  </si>
  <si>
    <t xml:space="preserve">• ערכי p חושבו ב-Python (מבחני Wilcoxon לא-פרמטריים) בשל גודל מדגם והתפלגות — לא כנוסחת Excel.
• B1/B2 בניסוי ABB מסודרים כרונולוגית (הליכת הכלב הראשונה/שנייה בזמן), ללא תלות במיקום הליכת ה-A.
• נסיין 203 הוחרג כבר במקור; ערכים חסרים (תקלות/זמנים חריגים) לא נכללו בחישובים הרלוונטיים.
• הזמן הוא מדד עקיף למהירות על מסלול קבוע; קבצי המהירות הגולמית של הבקר לא סופקו.</t>
  </si>
  <si>
    <t xml:space="preserve">בדיקת ההשערה: האם הרצועה מגבירה הסתגלות?</t>
  </si>
  <si>
    <t xml:space="preserve">ההשערה שהנחתה את הצוות: הליכה עם רצועה תזרז את ההסתגלות יותר מהליכה בלי רצועה. בדיקה: מדידת השיפור מהליכת-הכלב הראשונה לשנייה (זמן ראשון פחות זמן שני; ערך חיובי = הואץ), מפוצל לפי סוג ההליכה השנייה.</t>
  </si>
  <si>
    <t xml:space="preserve">קבוצה</t>
  </si>
  <si>
    <t xml:space="preserve">N</t>
  </si>
  <si>
    <t xml:space="preserve">שיפור ממוצע (שנ')</t>
  </si>
  <si>
    <t xml:space="preserve">% שהואצו</t>
  </si>
  <si>
    <t xml:space="preserve">הליכה שנייה = C (עם רצועה)</t>
  </si>
  <si>
    <t xml:space="preserve">59%</t>
  </si>
  <si>
    <t xml:space="preserve">הליכה שנייה = B (בלי רצועה)</t>
  </si>
  <si>
    <t xml:space="preserve">81%</t>
  </si>
  <si>
    <t xml:space="preserve">הליכה שנייה = B (בלי רצועה, אותו תנאי)</t>
  </si>
  <si>
    <t xml:space="preserve">68%</t>
  </si>
  <si>
    <t xml:space="preserve">BB</t>
  </si>
  <si>
    <t xml:space="preserve">התוצאה</t>
  </si>
  <si>
    <t xml:space="preserve">הנתונים אינם תומכים בהשערה — ואם כבר, מצביעים לכיוון ההפוך. ההליכות שהסתיימו בלי רצועה השתפרו מעט יותר (‎+0.98 שנ' באיגום) מאלה שהסתיימו עם רצועה (‎+0.71 שנ'). ההפרש אינו מובהק (Mann-Whitney p=0.27); מבחן חד-צדדי ל'רצועה מזרזת יותר' נתן p=0.86.</t>
  </si>
  <si>
    <t xml:space="preserve">בדיקת הבלבול המתבקש: ההפרש ברמת הזמן בין B ל-C זעום (0.19 שנ'), כך שאינו מסביר את התוצאה.</t>
  </si>
  <si>
    <t xml:space="preserve">מסקנה: אין עדות שהרצועה מגבירה הסתגלות. הדבר עקבי עם הממצא שהרצועה כמעט אינה משפיעה על המהירות כלל — ההסתגלות נובעת מעצם המפגש עם הכלב, לא מהרצועה.</t>
  </si>
  <si>
    <t xml:space="preserve">מגבלות הבדיקה</t>
  </si>
  <si>
    <t xml:space="preserve">• תת-הקבוצות קטנות, וזו השוואה בין נסיינים שונים (מי שקיבל B→C אינו מי שקיבל C→B) — רעש גבוה.
• זהו ניתוח quasi-experimental מבוסס-סדר, לא מבחן ישיר של השערת הרצועה.
• הבדיקה הישירה תדרוש תכנון עם שתי הליכות רצועה (A,C,C) להשוואה מול BB — ניסוי המשך מוצע.
• ערכי p חושבו ב-Python (Mann-Whitney).</t>
  </si>
  <si>
    <t xml:space="preserve">בדיקת ההשערה התחושתית: האם עדיף להציג את הרצועה מוקדם?</t>
  </si>
  <si>
    <t xml:space="preserve">ניתוח השאלונים (לא הזמנים). ההשערה: רצועה-קודם (ואז בלי) תשפר את תחושת הביטחון יותר מבלי-קודם, או מהליכה בלי רצועה כלל. תשובה קצרה: ההשערה אינה נתמכת — אך התגלו שלושה ממצאים מעניינים יותר.</t>
  </si>
  <si>
    <t xml:space="preserve">① ההשערה (תזמון הרצועה) — אינה נתמכת</t>
  </si>
  <si>
    <t xml:space="preserve">בדיקה</t>
  </si>
  <si>
    <t xml:space="preserve">תוצאה</t>
  </si>
  <si>
    <t xml:space="preserve">רצועה-קודם מול בלי-קודם (כל מדדי הביטחון)</t>
  </si>
  <si>
    <t xml:space="preserve">כל ההבדלים לא מובהקים (p&gt;0.08)</t>
  </si>
  <si>
    <t xml:space="preserve">אינדקס ביטחון מורכב (ללא-רצועה)</t>
  </si>
  <si>
    <t xml:space="preserve">רצועה-קודם −0.11 מול בלי-קודם +0.11 · p=0.57 · Cohen d=−0.23</t>
  </si>
  <si>
    <t xml:space="preserve">חוצה-ניסויי: רצועה-אז-בלי מול בלי-בלי</t>
  </si>
  <si>
    <t xml:space="preserve">בטיחות ללא-רצועה: 7.40 מול 7.85 · p=0.49</t>
  </si>
  <si>
    <t xml:space="preserve">אין אפקט תזמון שניתן לזהות, והמגמה הזעירה אף הפוכה מההשערה. תזמון הרצועה אינו משנה את החוויה התחושתית — עקבי עם ממצא הזמנים, שם גם התזמון לא השפיע על ההסתגלות.</t>
  </si>
  <si>
    <t xml:space="preserve">② הרצועה כן תורמת — אך כאפקט ישיר, לא תזמוני</t>
  </si>
  <si>
    <t xml:space="preserve">מדד (בתוך-נבדקי)</t>
  </si>
  <si>
    <t xml:space="preserve">ללא</t>
  </si>
  <si>
    <t xml:space="preserve">עם</t>
  </si>
  <si>
    <t xml:space="preserve">Δ · p</t>
  </si>
  <si>
    <t xml:space="preserve">שליטה</t>
  </si>
  <si>
    <t xml:space="preserve">+0.78 · p=0.002 ✔</t>
  </si>
  <si>
    <t xml:space="preserve">ביטחון</t>
  </si>
  <si>
    <t xml:space="preserve">+0.36 · p=0.076</t>
  </si>
  <si>
    <t xml:space="preserve">הרצועה משפרת מובהק את תחושת השליטה, ואת הביטחון במגמה — ברגע שמחזיקים בה, ללא תלות במתי הוצגה.</t>
  </si>
  <si>
    <t xml:space="preserve">③ הממצא המעניין ביותר — הרצועה כ"מיישרת" (equalizer)</t>
  </si>
  <si>
    <t xml:space="preserve">הרצועה עוזרת הכי הרבה למי שהרגיש הכי פחות בטוח/בשליטה בלעדיה, וכמעט אינה עוזרת (ואף מפריעה מעט) למי שכבר הרגיש גבוה:</t>
  </si>
  <si>
    <t xml:space="preserve">רווח מהרצועה</t>
  </si>
  <si>
    <t xml:space="preserve">חשו נמוך (≤חציון)</t>
  </si>
  <si>
    <t xml:space="preserve">חשו גבוה (&gt;חציון)</t>
  </si>
  <si>
    <t xml:space="preserve">רווח ביטחון</t>
  </si>
  <si>
    <t xml:space="preserve">+1.18 (n=40, p=0.0002)</t>
  </si>
  <si>
    <t xml:space="preserve">−0.56 (n=36)</t>
  </si>
  <si>
    <t xml:space="preserve">רווח שליטה</t>
  </si>
  <si>
    <t xml:space="preserve">+1.87 (n=39, p&lt;0.0001)</t>
  </si>
  <si>
    <t xml:space="preserve">−0.38 (n=37)</t>
  </si>
  <si>
    <t xml:space="preserve">פיזור השליטה מצטמצם</t>
  </si>
  <si>
    <t xml:space="preserve">SD 2.40 (ללא)</t>
  </si>
  <si>
    <t xml:space="preserve">SD 1.81 (עם)</t>
  </si>
  <si>
    <t xml:space="preserve">הסתייגות סטטיסטית (חשוב מול מומחית): מתאם של "שינוי מול בסיס" מוטה שלילית מטבעו (רגרסיה-לממוצע), ולכן עוצמת האפקט כנראה מוגזמת. אך צמצום הפיזור בשליטה (2.40→1.81) והמובהקות החזקה בקבוצה הנמוכה מצביעים על אפקט-יישור אמיתי, לא ארטיפקט בלבד.</t>
  </si>
  <si>
    <t xml:space="preserve">④ הרצועה אינה טובה לכולם — היא מקטבת</t>
  </si>
  <si>
    <t xml:space="preserve">כרבע מהנסיינים דיווחו על תחושה נמוכה יותר דווקא עם הרצועה (ביטחון: 28% ירדו, שליטה: 24% ירדו), בעוד כמחצית השתפרו (ביטחון 49%, שליטה 57%). הרצועה עוזרת לחוששים ומעט מכבידה על הבטוחים-בעצמם. (רווחי הביטחון והשליטה הולכים יחד: rho=0.69.)</t>
  </si>
  <si>
    <t xml:space="preserve">⑤ רמז: הרצועה עובדת כניגוד, לא כפתיחה</t>
  </si>
  <si>
    <t xml:space="preserve">מי שחווה בלי-רצועה קודם ייחס לרצועה יותר שותפות: 64% מול 43% אצל רצועה-קודם (Fisher p=0.098). רמז — לא מובהק — שהרצועה בולטת יותר כתוספת שמשנה את החוויה מאשר כברירת-מחדל. אם יאושש בהמשך, זה בעצם ההפך מ"רצועה מוקדם עדיפה".</t>
  </si>
  <si>
    <t xml:space="preserve">תמונה כוללת: תזמון הרצועה אינו משנה את החוויה. התרומה שלה ישירה ומיידית (שליטה מובהק, ביטחון במגמה), מרוכזת במי שמרגיש פחות בשליטה — אך אינה אחידה: כרבע אף חשים פחות טוב איתה.</t>
  </si>
  <si>
    <t xml:space="preserve">הערות: השוואות התזמון הן בין-נסייני עם תת-קבוצות קטנות (~35 כל אחת) — רעש גבוה. ערכי p חושבו ב-Python (Wilcoxon / Mann-Whitney / Fisher / Spearman). "רווח" = דירוג עם-רצועה פחות ללא-רצועה.</t>
  </si>
  <si>
    <t xml:space="preserve">ממצאים נוספים</t>
  </si>
  <si>
    <t xml:space="preserve">שלושה ממצאים משלימים לניתוח המרכזי, מבוססים על אותם נתונים מאוחדים.</t>
  </si>
  <si>
    <t xml:space="preserve">① הלם מפגש ראשון מול מס קבוע</t>
  </si>
  <si>
    <t xml:space="preserve">תכנון ABB (שתי הליכות כלב זהות) מאפשר לפצל את ההאטה לשני רכיבים:</t>
  </si>
  <si>
    <t xml:space="preserve">רכיב</t>
  </si>
  <si>
    <t xml:space="preserve">תוספת מעל לבד</t>
  </si>
  <si>
    <t xml:space="preserve">מפגש ראשון עם הכלב (B1−A)</t>
  </si>
  <si>
    <t xml:space="preserve">+1.83 שנ'</t>
  </si>
  <si>
    <t xml:space="preserve">מצב יציב, הליכה שנייה (B2−A)</t>
  </si>
  <si>
    <t xml:space="preserve">+0.99 שנ'</t>
  </si>
  <si>
    <t xml:space="preserve">כ-46% מ'הלם המפגש הראשון' מתאושש כבר בהליכה השנייה — אך נותר מס קבוע של כ-0.99 שנ' שאינו נעלם. ההאטה אינה רק רתיעה ראשונית; יש רכיב מתמשך.</t>
  </si>
  <si>
    <t xml:space="preserve">② גודל האפקט — לא רק מובהק, אלא גדול</t>
  </si>
  <si>
    <t xml:space="preserve">מדד גודל אפקט (rank-biserial): 0.5 ומעלה נחשב אפקט גדול.</t>
  </si>
  <si>
    <t xml:space="preserve">גודל אפקט</t>
  </si>
  <si>
    <t xml:space="preserve">עוצמה</t>
  </si>
  <si>
    <t xml:space="preserve">כלב בלי רצועה מול לבד</t>
  </si>
  <si>
    <t xml:space="preserve">0.58</t>
  </si>
  <si>
    <t xml:space="preserve">גדול</t>
  </si>
  <si>
    <t xml:space="preserve">כלב עם רצועה מול לבד</t>
  </si>
  <si>
    <t xml:space="preserve">0.80</t>
  </si>
  <si>
    <t xml:space="preserve">גדול מאוד</t>
  </si>
  <si>
    <t xml:space="preserve">התרגלות (הליכה 1 מול 2)</t>
  </si>
  <si>
    <t xml:space="preserve">0.37</t>
  </si>
  <si>
    <t xml:space="preserve">בינוני</t>
  </si>
  <si>
    <t xml:space="preserve">השפעת הכלב על המהירות היא אפקט גדול — לא הבדל שולי שבמקרה יצא מובהק.</t>
  </si>
  <si>
    <t xml:space="preserve">③ הכלב מגדיל את השונות בין אנשים</t>
  </si>
  <si>
    <t xml:space="preserve">מצב</t>
  </si>
  <si>
    <t xml:space="preserve">סטיית תקן (שנ')</t>
  </si>
  <si>
    <t xml:space="preserve">הליכה לבד</t>
  </si>
  <si>
    <t xml:space="preserve">2.31</t>
  </si>
  <si>
    <t xml:space="preserve">הליכה עם הכלב</t>
  </si>
  <si>
    <t xml:space="preserve">2.91</t>
  </si>
  <si>
    <t xml:space="preserve">סטיית התקן עולה בנוכחות הכלב — הרובוט אינו כופה קצב אחיד. התגובה הטרוגנית מאוד: חלק כמעט אינם מושפעים, וחלק מואטים משמעותית.</t>
  </si>
  <si>
    <t xml:space="preserve">הערה: ממצאים אלה חישוביים (Python) ומשלימים את הניתוח המרכזי; לא מבחני נוסחת Excel.</t>
  </si>
  <si>
    <t xml:space="preserve">שאלונים — החוויה הסובייקטיבית</t>
  </si>
  <si>
    <t xml:space="preserve">דירוג עצמי בסולם 1–9 (שים לב: הסולם בפועל היה 1–9, לא 1–5 כפי שתוכנן במקור). עבור נסייני ABB מוצע ממוצע שתי הליכות ה-B.</t>
  </si>
  <si>
    <t xml:space="preserve">① התחושה הסובייקטיבית משקפת בדיוק את ההאטה האובייקטיבית</t>
  </si>
  <si>
    <t xml:space="preserve">כלב בלי רצועה (B)</t>
  </si>
  <si>
    <t xml:space="preserve">כלב עם רצועה (C)</t>
  </si>
  <si>
    <t xml:space="preserve">ההליכה הרגישה טבעית</t>
  </si>
  <si>
    <t xml:space="preserve">8.49</t>
  </si>
  <si>
    <t xml:space="preserve">7.43</t>
  </si>
  <si>
    <t xml:space="preserve">7.34</t>
  </si>
  <si>
    <t xml:space="preserve">הרגשתי בטוח/ה</t>
  </si>
  <si>
    <t xml:space="preserve">8.66</t>
  </si>
  <si>
    <t xml:space="preserve">7.39</t>
  </si>
  <si>
    <t xml:space="preserve">7.67</t>
  </si>
  <si>
    <t xml:space="preserve">שמרתי על הקצב הטבעי</t>
  </si>
  <si>
    <t xml:space="preserve">8.46</t>
  </si>
  <si>
    <t xml:space="preserve">7.41</t>
  </si>
  <si>
    <t xml:space="preserve">7.40</t>
  </si>
  <si>
    <t xml:space="preserve">צורך לשנות קצב (גבוה=רע)</t>
  </si>
  <si>
    <t xml:space="preserve">2.20</t>
  </si>
  <si>
    <t xml:space="preserve">3.53</t>
  </si>
  <si>
    <t xml:space="preserve">4.25</t>
  </si>
  <si>
    <t xml:space="preserve">עם הכלב, הנסיינים דירגו נמוך יותר טבעיות, ביטחון ושמירה על קצב — וגבוה יותר 'צורך לשנות קצב'. כל ההבדלים מול הליכה לבד מובהקים מאוד (Wilcoxon, p&lt;0.001). האנשים לא רק הואטו — הם גם חשו זאת.</t>
  </si>
  <si>
    <t xml:space="preserve">② הכתר: הדירוג הסובייקטיבי מנבא את הזמן האובייקטיבי (n=92)</t>
  </si>
  <si>
    <t xml:space="preserve">מתאם בין הדירוג בשאלון להאטה בפועל (B מדוד פחות A מדוד):</t>
  </si>
  <si>
    <t xml:space="preserve">דירוג סובייקטיבי</t>
  </si>
  <si>
    <t xml:space="preserve">מתאם עם ההאטה</t>
  </si>
  <si>
    <t xml:space="preserve">מובהקות</t>
  </si>
  <si>
    <t xml:space="preserve">'שמרתי על הקצב'</t>
  </si>
  <si>
    <t xml:space="preserve">‎−0.34</t>
  </si>
  <si>
    <t xml:space="preserve">p=0.001 ✔</t>
  </si>
  <si>
    <t xml:space="preserve">'הרגיש טבעי'</t>
  </si>
  <si>
    <t xml:space="preserve">‎−0.26</t>
  </si>
  <si>
    <t xml:space="preserve">p=0.013 ✔</t>
  </si>
  <si>
    <t xml:space="preserve">'צורך לשנות קצב'</t>
  </si>
  <si>
    <t xml:space="preserve">‎+0.24</t>
  </si>
  <si>
    <t xml:space="preserve">p=0.024 ✔</t>
  </si>
  <si>
    <t xml:space="preserve">'הרגשתי בטוח'</t>
  </si>
  <si>
    <t xml:space="preserve">‎−0.16</t>
  </si>
  <si>
    <t xml:space="preserve">p=0.13 (לא)</t>
  </si>
  <si>
    <t xml:space="preserve">מי שהרגיש ששמר על הקצב הטבעי — באמת הלך קרוב יותר למהירות ההליכה-לבד שלו. שני מקורות הנתונים (מדידה אובייקטיבית ודיווח עצמי) מאמתים זה את זה. זהו חיזוק מתודולוגי חזק לממצא ההאטה.</t>
  </si>
  <si>
    <t xml:space="preserve">הערה: החשש הסובייקטיבי (כן/לא) לא ניבא הבדל מובהק בזמן (מואטים +2.03 מול +1.42, p=0.38).</t>
  </si>
  <si>
    <t xml:space="preserve">שאלונים — פרדוקס הרצועה</t>
  </si>
  <si>
    <t xml:space="preserve">מתוך שאלון הסיכום (N≈76). הממצא המרכזי: הרצועה כמעט אינה משנה מהירות אובייקטיבית — אך משנה מהותית את החוויה.</t>
  </si>
  <si>
    <t xml:space="preserve">① הרצועה משפרת תחושת ביטחון ושליטה</t>
  </si>
  <si>
    <t xml:space="preserve">מדד סובייקטיבי (1–9)</t>
  </si>
  <si>
    <t xml:space="preserve">רמת ביטחון אישי</t>
  </si>
  <si>
    <t xml:space="preserve">p=0.08 (מגמה, לא מובהק)</t>
  </si>
  <si>
    <t xml:space="preserve">מידת שליטה כללית</t>
  </si>
  <si>
    <t xml:space="preserve">p=0.002 ✔</t>
  </si>
  <si>
    <t xml:space="preserve">② הרצועה הופכת את הכלב מ'מכשיר' ל'שותף'</t>
  </si>
  <si>
    <t xml:space="preserve">לשאלה 'באיזה מצב הרגשת שהכלב הוא שותף ופחות מכשיר טכנולוגי?':</t>
  </si>
  <si>
    <t xml:space="preserve">תשובה</t>
  </si>
  <si>
    <t xml:space="preserve">מספר נסיינים</t>
  </si>
  <si>
    <t xml:space="preserve">42</t>
  </si>
  <si>
    <t xml:space="preserve">17</t>
  </si>
  <si>
    <t xml:space="preserve">לא הרגשתי הבדל</t>
  </si>
  <si>
    <t xml:space="preserve">12</t>
  </si>
  <si>
    <t xml:space="preserve">אף פעם לא הרגשתי שותף</t>
  </si>
  <si>
    <t xml:space="preserve">5</t>
  </si>
  <si>
    <t xml:space="preserve">פי כ-2.5 יותר נסיינים חשו שותפות עם הרצועה. זהו אפקט פסיכולוגי-חברתי חזק — ללא כל השפעה על המהירות.</t>
  </si>
  <si>
    <t xml:space="preserve">③ המשמעות</t>
  </si>
  <si>
    <t xml:space="preserve">הרצועה אינה כלי מכני (לא מאיצה, לא מאטה) אלא כלי חברתי: היא נותנת לאדם תחושת שליטה, ביטחון וקשר. לתכנון אינטראקציית אדם-רובוט זו תובנה מרכזית — האמון נבנה מ'ידית' סמלית, לא מביצועים.</t>
  </si>
  <si>
    <t xml:space="preserve">רקע נוסף מהסיכום</t>
  </si>
  <si>
    <t xml:space="preserve">מדד כללי</t>
  </si>
  <si>
    <t xml:space="preserve">ערך</t>
  </si>
  <si>
    <t xml:space="preserve">חווית ההליכה הייתה מהנה (1–9)</t>
  </si>
  <si>
    <t xml:space="preserve">7.47</t>
  </si>
  <si>
    <t xml:space="preserve">מוטיבציה להליכה ארוכה יותר (1–9)</t>
  </si>
  <si>
    <t xml:space="preserve">5.73</t>
  </si>
  <si>
    <t xml:space="preserve">חשו חשש כלשהו במהלך הניסוי</t>
  </si>
  <si>
    <t xml:space="preserve">30 מתוך 76 (39%)</t>
  </si>
  <si>
    <t xml:space="preserve">הקבלה: השערת הצוות המקורית הייתה שהרצועה מגבירה הסתגלות (מהירות). הנתונים האובייקטיביים דחו זאת (גיליון 'השערת הרצועה'). אך השאלונים מגלים שהרצועה כן חשובה — בממד הסובייקטיבי, לא במהירות.</t>
  </si>
  <si>
    <t xml:space="preserve">מסקנות — התנהגות הרובוט בניסוי (מתוך קוד הבקר)</t>
  </si>
  <si>
    <t xml:space="preserve">ניתוח קוד הבקר ששלט ברובוט (Unitree Go2) בזמן הניסויים. המסקנה המרכזית: אופן פעולת הרובוט תומך בפרשנות הסיבתית של ההאטה, ומנקה את השוואת הרצועה.</t>
  </si>
  <si>
    <t xml:space="preserve">① מנגנון הבקרה — רובוט מלווה שמתאים את עצמו לאדם</t>
  </si>
  <si>
    <t xml:space="preserve">שיטת מעקב</t>
  </si>
  <si>
    <t xml:space="preserve">UWB — מרחק וזווית אל האדם, בתדר 10Hz</t>
  </si>
  <si>
    <t xml:space="preserve">מיקום הרובוט</t>
  </si>
  <si>
    <t xml:space="preserve">לצד האדם (מרווח צידי יעד ≈1.17 מ׳), מעט לפנים (~0.6 מ׳)</t>
  </si>
  <si>
    <t xml:space="preserve">בקרת מהירות</t>
  </si>
  <si>
    <t xml:space="preserve">Feed-forward שמשערך את מהירות האדם ומתאים אליה (FF_GAIN=1.0)</t>
  </si>
  <si>
    <t xml:space="preserve">תקרת מהירות</t>
  </si>
  <si>
    <t xml:space="preserve">עד 2.0 מ׳/ש׳ (הוגדל מ-0.9) — הרבה מעל מהירות הליכה רגילה</t>
  </si>
  <si>
    <t xml:space="preserve">מי מכתיב את הקצב</t>
  </si>
  <si>
    <t xml:space="preserve">האדם. הרובוט מוגבל ל: מהירות האדם + 0.8 מ׳/ש׳ בלבד</t>
  </si>
  <si>
    <t xml:space="preserve">סוג הליכה (gait)</t>
  </si>
  <si>
    <t xml:space="preserve">Trot — הליכה קלאסית (SwitchGait 2)</t>
  </si>
  <si>
    <t xml:space="preserve">בטיחות</t>
  </si>
  <si>
    <t xml:space="preserve">ריחוק חירום מתחת 0.65 מ׳, התחמקות צידית, כפתור עצירה ב-UWB</t>
  </si>
  <si>
    <t xml:space="preserve">תיעוד גולמי</t>
  </si>
  <si>
    <t xml:space="preserve">קובץ CSV לכל נסיין: speed_mps + מרחק מצטבר, ב-10Hz</t>
  </si>
  <si>
    <t xml:space="preserve">② המשמעות להאטה — תגובה אנושית, לא ארטיפקט של הרובוט</t>
  </si>
  <si>
    <t xml:space="preserve">מכיוון שהרובוט מתאים את מהירותו לאדם (feed-forward על מהירות האדם, עם תקרה של 2.0 מ׳/ש׳ — הרבה מעל קצב הליכה), הוא אינו "צוואר בקבוק" שכופה קצב איטי. האדם מוביל את הקצב והרובוט עוקב. לכן ההאטה שנמדדה (A לבד מול B/C) היא ככל הנראה תגובה התנהגותית-פסיכולוגית אמיתית של האדם להליכה לצד הרובוט — ולא תוצר-לוואי של לולאת הבקרה. זו התשובה לשאלה הראשונה שכל שופט ישאל.</t>
  </si>
  <si>
    <t xml:space="preserve">③ המשמעות לרצועה — מניפולציה מכנית נקייה</t>
  </si>
  <si>
    <t xml:space="preserve">הבקר כולו מבוסס-UWB ואינו מכיל שום התייחסות לרצועה — הקוד זהה לחלוטין בתנאי B (בלי רצועה) ובתנאי C (עם רצועה). כלומר הרובוט התנהג מכנית בדיוק אותו דבר בשני התנאים, וההבדל היחיד היה תפיסתי-חברתי אצל האדם. זה הופך את השוואת B מול C למניפולציה נקייה של האות החברתי תוך החזקת המכניקה קבועה — חיזוק מתודולוגי ישיר לממצא "פרדוקס הרצועה".</t>
  </si>
  <si>
    <t xml:space="preserve">④ ניואנס שכדאי להכיר (מגבלה הוגנת)</t>
  </si>
  <si>
    <t xml:space="preserve">רכיב ה-feed-forward משתמש במסנן EMA (a=0.2) על מהירות האדם — כלומר הערכת המהירות של הרובוט מפגרת מעט אחרי המציאות ברגעי האצה/האטה. פיגור זה עשוי לתרום מעט לתחושת "צורך להתאים קצב" שדיווחו הנסיינים, והוא בדיוק מה שמודל החיזוי (הגיליון הבא) נועד לתקן.</t>
  </si>
  <si>
    <t xml:space="preserve">⑤ נכס שלא נוצל: קבצי מהירות גולמיים</t>
  </si>
  <si>
    <t xml:space="preserve">הבקר תיעד לכל נסיין קובץ CSV של מהירות ההליכה ב-10Hz (speed_mps). קיימים אם כן נתוני מהירות רציפים — עשירים בהרבה מזמן-השלמת-המסלול. מומלץ למשוך אותם לניתוח (פרופיל האצה/האטה, שונות תוך-אישית); הם גם הבסיס לאימון מודל החיזוי.</t>
  </si>
  <si>
    <t xml:space="preserve">תמונה כוללת: הרובוט הוא מלווה שמתאים עצמו לאדם — לא רובוט שכופה קצב. לכן ההאטה היא ממצא התנהגותי אמיתי, והרצועה נבדקה בתנאי מכני זהה לחלוטין. שני אלה מחזקים משמעותית את תוקף המסקנות מול ביקורת.</t>
  </si>
  <si>
    <t xml:space="preserve">הערות: הקובץ המרכזי הוא follow_controller.py; קובץ הכניסה yolo_follow.py (למרות שמו — מבוסס UWB, לא YOLO). ערכי התצורה מ-AppConfig.py.</t>
  </si>
  <si>
    <t xml:space="preserve">מסקנות — מודל חיזוי מהירות ההליכה (XGBoost)</t>
  </si>
  <si>
    <t xml:space="preserve">מודל שמנבא את מהירות ההליכה של האדם ~0.36 שנ׳ קדימה (3 צעדים ב-8.3Hz), כדי שהרובוט המלווה יקדים במקום להגיב באיחור. אומן ונבדק על נתוני מהירות אמיתיים מהרובוט.</t>
  </si>
  <si>
    <t xml:space="preserve">① מה המודל עושה ואיך אומן</t>
  </si>
  <si>
    <t xml:space="preserve">מטרה</t>
  </si>
  <si>
    <t xml:space="preserve">חיזוי מהירות ההליכה 3 צעדים קדימה (~0.36 שנ׳)</t>
  </si>
  <si>
    <t xml:space="preserve">מקור נתונים</t>
  </si>
  <si>
    <t xml:space="preserve">קבצי מהירות אמיתיים מהרובוט (speed_mps) — 297 קבצים</t>
  </si>
  <si>
    <t xml:space="preserve">שיפור מתודולוגי</t>
  </si>
  <si>
    <t xml:space="preserve">בעבר: HuGaDB עם מהירות מפוברקת מהאצה. כעת: מהירות נמדדת אמיתית</t>
  </si>
  <si>
    <t xml:space="preserve">חלוקת אימון/בדיקה</t>
  </si>
  <si>
    <t xml:space="preserve">לפי אדם: train/val/test נפרדים, ואימות-צולב GroupKFold (5 קפלים) — כל נסיין נבדק על מודל שלא ראה אותו</t>
  </si>
  <si>
    <t xml:space="preserve">מאפיינים</t>
  </si>
  <si>
    <t xml:space="preserve">55: 50 לגים + ממוצעים נעים + מגמות</t>
  </si>
  <si>
    <t xml:space="preserve">אלגוריתם</t>
  </si>
  <si>
    <t xml:space="preserve">XGBoost (1000 עצים, עומק 3, lr 0.01, early stopping על val)</t>
  </si>
  <si>
    <t xml:space="preserve">② ביצועים — אימות צולב (5-fold GroupKFold)</t>
  </si>
  <si>
    <t xml:space="preserve">RMSE (מודל, ממוצע CV)</t>
  </si>
  <si>
    <t xml:space="preserve">0.184 ± 0.021 מ׳/ש׳</t>
  </si>
  <si>
    <t xml:space="preserve">MAE (מודל, ממוצע CV)</t>
  </si>
  <si>
    <t xml:space="preserve">0.135 ± 0.013 מ׳/ש׳</t>
  </si>
  <si>
    <t xml:space="preserve">R² (ממוצע CV)</t>
  </si>
  <si>
    <t xml:space="preserve">89.5% ± 1.7%</t>
  </si>
  <si>
    <t xml:space="preserve">שיפור מול ניחוש נאיבי (CV)</t>
  </si>
  <si>
    <t xml:space="preserve">10.4% ± 1.8%</t>
  </si>
  <si>
    <t xml:space="preserve">שיפור מול קוד הרובוט (EMA, חלוקה בודדת)</t>
  </si>
  <si>
    <t xml:space="preserve">34.6%</t>
  </si>
  <si>
    <t xml:space="preserve">היכן היתרון מתרכז</t>
  </si>
  <si>
    <t xml:space="preserve">ברגעי מעבר — האצה/האטה (שם הרובוט הנוכחי מפגר)</t>
  </si>
  <si>
    <t xml:space="preserve">③ הממצא החשוב ביותר — והכי הוגן</t>
  </si>
  <si>
    <t xml:space="preserve">קוד הרובוט הנוכחי (מסנן EMA) דווקא גרוע יותר מניחוש נאיבי (RMSE 0.256 מול 0.191) — ההחלקה מוסיפה פיגור. לכן היתרון הגדול של המודל (34.6%, חלוקה בודדת) הוא בעיקר מול הפיגור של הרובוט, ואילו מול ניחוש נאיבי טהור השיפור צנוע יותר — ‎~10% באימות-צולב. חשוב: המספרים בטבלה עברו מ"חלוקה בודדת" (שיצאה קצת קלה: RMSE 0.168) לאימות-צולב אמין (RMSE 0.184 ± 0.021). זו האמת המדויקת — ולהציג אותה כך חזק ואמין יותר.</t>
  </si>
  <si>
    <t xml:space="preserve">④ למה זה חשוב לרובוט</t>
  </si>
  <si>
    <t xml:space="preserve">היתרון הגדול ביותר של המודל הוא ברגעי מעבר — בדיוק כשהאדם מאיץ או מאט, שם הרובוט הנוכחי מגיב באיחור. חיזוי שמקדים ב-0.36 שנ׳ מאפשר לרובוט להתחיל לזוז בזמן במקום באיחור, ולהרגיש מסונכרן יותר עם האדם.</t>
  </si>
  <si>
    <t xml:space="preserve">⑤ החיבור לניסוי — סגירת המעגל</t>
  </si>
  <si>
    <t xml:space="preserve">הניסוי חשף "מס האטה" שיורי של ~8% שנשאר גם אחרי התרגלות. השערת העבודה: חלק מהחיכוך נובע מכך שהרובוט מגיב באיחור לשינויי הקצב של האדם. מודל שמקדים את הקצב נועד לצמצם בדיוק את הפער הזה — כאן נסגר המעגל בין המחקר ההתנהגותי לחלק ההנדסי.</t>
  </si>
  <si>
    <t xml:space="preserve">תמונה כוללת: המודל מנבא מהירות הליכה ~0.36 שנ׳ קדימה. באימות-צולב (5 קפלים): RMSE 0.184 ± 0.021 ושיפור ‎~10% מול ניחוש נאיבי; מול קוד הרובוט הנוכחי — 34.6% (חלוקה בודדת), בעיקר ברגעי מעבר. הוא הצעד ההנדסי לצמצום מס-ההאטה שהניסוי חשף.</t>
  </si>
  <si>
    <t xml:space="preserve">הערות: שתי חולשות מתודולוגיות תוקנו — ה-early stopping רץ כעת על val (לא על הבדיקה), והתוצאה אומתה ב-GroupKFold (5 קפלים, כל אדם נבדק פעם אחת על מודל שאומן בלעדיו; טווח הקפלים RMSE 0.166–0.224). מספר ה-34.6% מול הרובוט הוא מחלוקה בודדת ולא הורץ תחת CV. מספרי המעבר/יציב מריצת-עזר קצרה, כמגמה.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</si>
</sst>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\+0.00;\-0.00"/>
    <numFmt numFmtId="167" formatCode="0.0"/>
    <numFmt numFmtId="168" formatCode="0.0%"/>
    <numFmt numFmtId="169" formatCode="0"/>
    <numFmt numFmtId="170" formatCode="0%"/>
    <numFmt numFmtId="171" formatCode="[&lt;0.001]&quot;&lt;0.001&quot;;0.0000"/>
    <numFmt numFmtId="172" formatCode="0.0000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2E5496"/>
      </patternFill>
    </fill>
    <fill>
      <patternFill patternType="solid">
        <fgColor rgb="FFFFF2E6"/>
        <bgColor rgb="FFFFF2CC"/>
      </patternFill>
    </fill>
    <fill>
      <patternFill patternType="solid">
        <fgColor rgb="FFEAF0FA"/>
        <bgColor rgb="FFE2EFDA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305496"/>
      </patternFill>
    </fill>
    <fill>
      <patternFill patternType="solid">
        <fgColor rgb="FFFFFFFF"/>
        <bgColor rgb="FFFFF2E6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FF2E6"/>
      </patternFill>
    </fill>
    <fill>
      <patternFill patternType="solid">
        <fgColor rgb="FFE2EFDA"/>
        <bgColor rgb="FFEA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A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2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E5496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12"/>
    <col collapsed="false" customWidth="true" hidden="false" outlineLevel="0" max="43" min="5" style="1" width="10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</row>
    <row r="2" customFormat="false" ht="15" hidden="false" customHeight="true" outlineLevel="0" collapsed="false">
      <c r="A2" s="4" t="s">
        <v>43</v>
      </c>
      <c r="B2" s="4" t="n">
        <v>183</v>
      </c>
      <c r="C2" s="4" t="s">
        <v>44</v>
      </c>
      <c r="D2" s="4" t="s">
        <v>45</v>
      </c>
      <c r="E2" s="5" t="n">
        <v>16.12</v>
      </c>
      <c r="F2" s="5" t="n">
        <v>17.1</v>
      </c>
      <c r="G2" s="5" t="n">
        <v>17.29</v>
      </c>
      <c r="H2" s="4"/>
      <c r="I2" s="6" t="n">
        <f aca="false">IF(COUNT(E2,F2)=2,F2-E2,"")</f>
        <v>0.98</v>
      </c>
      <c r="J2" s="6" t="str">
        <f aca="false">IF(COUNT(E2,H2)=2,H2-E2,"")</f>
        <v/>
      </c>
      <c r="K2" s="6" t="n">
        <f aca="false">IF(COUNT(F2,G2)=2,F2-G2,"")</f>
        <v>-0.189999999999998</v>
      </c>
      <c r="L2" s="7" t="n">
        <v>9</v>
      </c>
      <c r="M2" s="7" t="n">
        <v>9</v>
      </c>
      <c r="N2" s="7" t="n">
        <v>9</v>
      </c>
      <c r="O2" s="7" t="n">
        <v>1</v>
      </c>
      <c r="P2" s="7" t="n">
        <v>9</v>
      </c>
      <c r="Q2" s="7" t="n">
        <v>9</v>
      </c>
      <c r="R2" s="7" t="n">
        <v>9</v>
      </c>
      <c r="S2" s="7" t="n">
        <v>4</v>
      </c>
      <c r="T2" s="7" t="n">
        <v>7</v>
      </c>
      <c r="U2" s="4"/>
      <c r="V2" s="4"/>
      <c r="W2" s="4"/>
      <c r="X2" s="4"/>
      <c r="Y2" s="4"/>
      <c r="Z2" s="4" t="s">
        <v>46</v>
      </c>
      <c r="AA2" s="4" t="s">
        <v>47</v>
      </c>
      <c r="AB2" s="7" t="n">
        <v>9</v>
      </c>
      <c r="AC2" s="7" t="n">
        <v>9</v>
      </c>
      <c r="AD2" s="7" t="n">
        <v>9</v>
      </c>
      <c r="AE2" s="7" t="n">
        <v>9</v>
      </c>
      <c r="AF2" s="7" t="n">
        <v>9</v>
      </c>
      <c r="AG2" s="7" t="n">
        <v>9</v>
      </c>
      <c r="AH2" s="6" t="n">
        <f aca="false">IF(COUNT(L2,P2)=2,P2-L2,"")</f>
        <v>0</v>
      </c>
      <c r="AI2" s="6" t="n">
        <f aca="false">IF(COUNT(M2,Q2)=2,Q2-M2,"")</f>
        <v>0</v>
      </c>
      <c r="AJ2" s="6" t="n">
        <f aca="false">IF(COUNT(N2,R2)=2,R2-N2,"")</f>
        <v>0</v>
      </c>
      <c r="AK2" s="6" t="n">
        <f aca="false">IF(COUNT(O2,S2)=2,S2-O2,"")</f>
        <v>3</v>
      </c>
      <c r="AL2" s="6" t="n">
        <f aca="false">IF(COUNT(AB2,AC2)=2,AC2-AB2,"")</f>
        <v>0</v>
      </c>
      <c r="AM2" s="6" t="n">
        <f aca="false">IF(COUNT(AD2,AE2)=2,AE2-AD2,"")</f>
        <v>0</v>
      </c>
      <c r="AN2" s="6" t="str">
        <f aca="false">IF(COUNT(F2,H2)=2,H2-F2,"")</f>
        <v/>
      </c>
      <c r="AO2" s="8" t="n">
        <f aca="false">IF(COUNT(E2,F2)=2,(F2-E2)/E2,"")</f>
        <v>0.0607940446650124</v>
      </c>
      <c r="AP2" s="8" t="str">
        <f aca="false">IF(COUNT(E2,H2)=2,(H2-E2)/E2,"")</f>
        <v/>
      </c>
      <c r="AQ2" s="8" t="n">
        <f aca="false">IF(COUNT(E2,G2)=2,(G2-E2)/E2,"")</f>
        <v>0.0725806451612902</v>
      </c>
    </row>
    <row r="3" customFormat="false" ht="15" hidden="false" customHeight="true" outlineLevel="0" collapsed="false">
      <c r="A3" s="4" t="s">
        <v>43</v>
      </c>
      <c r="B3" s="4" t="n">
        <v>184</v>
      </c>
      <c r="C3" s="4" t="s">
        <v>48</v>
      </c>
      <c r="D3" s="4" t="s">
        <v>49</v>
      </c>
      <c r="E3" s="5" t="n">
        <v>16.06</v>
      </c>
      <c r="F3" s="5" t="n">
        <v>26.1</v>
      </c>
      <c r="G3" s="4"/>
      <c r="H3" s="4"/>
      <c r="I3" s="6" t="n">
        <f aca="false">IF(COUNT(E3,F3)=2,F3-E3,"")</f>
        <v>10.04</v>
      </c>
      <c r="J3" s="6" t="str">
        <f aca="false">IF(COUNT(E3,H3)=2,H3-E3,"")</f>
        <v/>
      </c>
      <c r="K3" s="6" t="str">
        <f aca="false">IF(COUNT(F3,G3)=2,F3-G3,"")</f>
        <v/>
      </c>
      <c r="L3" s="7" t="n">
        <v>9</v>
      </c>
      <c r="M3" s="7" t="n">
        <v>9</v>
      </c>
      <c r="N3" s="7" t="n">
        <v>9</v>
      </c>
      <c r="O3" s="7" t="n">
        <v>1</v>
      </c>
      <c r="P3" s="7" t="n">
        <v>4</v>
      </c>
      <c r="Q3" s="7" t="n">
        <v>4</v>
      </c>
      <c r="R3" s="7" t="n">
        <v>5</v>
      </c>
      <c r="S3" s="7" t="n">
        <v>7</v>
      </c>
      <c r="T3" s="7" t="n">
        <v>4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6" t="n">
        <f aca="false">IF(COUNT(L3,P3)=2,P3-L3,"")</f>
        <v>-5</v>
      </c>
      <c r="AI3" s="6" t="n">
        <f aca="false">IF(COUNT(M3,Q3)=2,Q3-M3,"")</f>
        <v>-5</v>
      </c>
      <c r="AJ3" s="6" t="n">
        <f aca="false">IF(COUNT(N3,R3)=2,R3-N3,"")</f>
        <v>-4</v>
      </c>
      <c r="AK3" s="6" t="n">
        <f aca="false">IF(COUNT(O3,S3)=2,S3-O3,"")</f>
        <v>6</v>
      </c>
      <c r="AL3" s="6" t="str">
        <f aca="false">IF(COUNT(AB3,AC3)=2,AC3-AB3,"")</f>
        <v/>
      </c>
      <c r="AM3" s="6" t="str">
        <f aca="false">IF(COUNT(AD3,AE3)=2,AE3-AD3,"")</f>
        <v/>
      </c>
      <c r="AN3" s="6" t="str">
        <f aca="false">IF(COUNT(F3,H3)=2,H3-F3,"")</f>
        <v/>
      </c>
      <c r="AO3" s="8" t="n">
        <f aca="false">IF(COUNT(E3,F3)=2,(F3-E3)/E3,"")</f>
        <v>0.625155666251557</v>
      </c>
      <c r="AP3" s="8" t="str">
        <f aca="false">IF(COUNT(E3,H3)=2,(H3-E3)/E3,"")</f>
        <v/>
      </c>
      <c r="AQ3" s="8" t="str">
        <f aca="false">IF(COUNT(E3,G3)=2,(G3-E3)/E3,"")</f>
        <v/>
      </c>
    </row>
    <row r="4" customFormat="false" ht="15" hidden="false" customHeight="true" outlineLevel="0" collapsed="false">
      <c r="A4" s="4" t="s">
        <v>43</v>
      </c>
      <c r="B4" s="4" t="n">
        <v>185</v>
      </c>
      <c r="C4" s="4" t="s">
        <v>48</v>
      </c>
      <c r="D4" s="4" t="s">
        <v>50</v>
      </c>
      <c r="E4" s="5" t="n">
        <v>11.19</v>
      </c>
      <c r="F4" s="5" t="n">
        <v>14.22</v>
      </c>
      <c r="G4" s="5" t="n">
        <v>12.16</v>
      </c>
      <c r="H4" s="4"/>
      <c r="I4" s="6" t="n">
        <f aca="false">IF(COUNT(E4,F4)=2,F4-E4,"")</f>
        <v>3.03</v>
      </c>
      <c r="J4" s="6" t="str">
        <f aca="false">IF(COUNT(E4,H4)=2,H4-E4,"")</f>
        <v/>
      </c>
      <c r="K4" s="6" t="n">
        <f aca="false">IF(COUNT(F4,G4)=2,F4-G4,"")</f>
        <v>2.06</v>
      </c>
      <c r="L4" s="7" t="n">
        <v>7</v>
      </c>
      <c r="M4" s="7" t="n">
        <v>7</v>
      </c>
      <c r="N4" s="7" t="n">
        <v>7</v>
      </c>
      <c r="O4" s="7" t="n">
        <v>2</v>
      </c>
      <c r="P4" s="7" t="n">
        <v>6</v>
      </c>
      <c r="Q4" s="7" t="n">
        <v>5.5</v>
      </c>
      <c r="R4" s="7" t="n">
        <v>5.5</v>
      </c>
      <c r="S4" s="7" t="n">
        <v>5.5</v>
      </c>
      <c r="T4" s="7" t="n">
        <v>5.5</v>
      </c>
      <c r="U4" s="4"/>
      <c r="V4" s="4"/>
      <c r="W4" s="4"/>
      <c r="X4" s="4"/>
      <c r="Y4" s="4"/>
      <c r="Z4" s="4" t="s">
        <v>46</v>
      </c>
      <c r="AA4" s="4" t="s">
        <v>51</v>
      </c>
      <c r="AB4" s="7" t="n">
        <v>6</v>
      </c>
      <c r="AC4" s="7" t="n">
        <v>1</v>
      </c>
      <c r="AD4" s="7" t="n">
        <v>6</v>
      </c>
      <c r="AE4" s="7" t="n">
        <v>1</v>
      </c>
      <c r="AF4" s="7" t="n">
        <v>6</v>
      </c>
      <c r="AG4" s="7" t="n">
        <v>1</v>
      </c>
      <c r="AH4" s="6" t="n">
        <f aca="false">IF(COUNT(L4,P4)=2,P4-L4,"")</f>
        <v>-1</v>
      </c>
      <c r="AI4" s="6" t="n">
        <f aca="false">IF(COUNT(M4,Q4)=2,Q4-M4,"")</f>
        <v>-1.5</v>
      </c>
      <c r="AJ4" s="6" t="n">
        <f aca="false">IF(COUNT(N4,R4)=2,R4-N4,"")</f>
        <v>-1.5</v>
      </c>
      <c r="AK4" s="6" t="n">
        <f aca="false">IF(COUNT(O4,S4)=2,S4-O4,"")</f>
        <v>3.5</v>
      </c>
      <c r="AL4" s="6" t="n">
        <f aca="false">IF(COUNT(AB4,AC4)=2,AC4-AB4,"")</f>
        <v>-5</v>
      </c>
      <c r="AM4" s="6" t="n">
        <f aca="false">IF(COUNT(AD4,AE4)=2,AE4-AD4,"")</f>
        <v>-5</v>
      </c>
      <c r="AN4" s="6" t="str">
        <f aca="false">IF(COUNT(F4,H4)=2,H4-F4,"")</f>
        <v/>
      </c>
      <c r="AO4" s="8" t="n">
        <f aca="false">IF(COUNT(E4,F4)=2,(F4-E4)/E4,"")</f>
        <v>0.270777479892762</v>
      </c>
      <c r="AP4" s="8" t="str">
        <f aca="false">IF(COUNT(E4,H4)=2,(H4-E4)/E4,"")</f>
        <v/>
      </c>
      <c r="AQ4" s="8" t="n">
        <f aca="false">IF(COUNT(E4,G4)=2,(G4-E4)/E4,"")</f>
        <v>0.0866845397676498</v>
      </c>
    </row>
    <row r="5" customFormat="false" ht="15" hidden="false" customHeight="true" outlineLevel="0" collapsed="false">
      <c r="A5" s="4" t="s">
        <v>43</v>
      </c>
      <c r="B5" s="4" t="n">
        <v>186</v>
      </c>
      <c r="C5" s="4" t="s">
        <v>48</v>
      </c>
      <c r="D5" s="4" t="s">
        <v>45</v>
      </c>
      <c r="E5" s="5" t="n">
        <v>14.56</v>
      </c>
      <c r="F5" s="5" t="n">
        <v>15.16</v>
      </c>
      <c r="G5" s="5" t="n">
        <v>13.84</v>
      </c>
      <c r="H5" s="4"/>
      <c r="I5" s="6" t="n">
        <f aca="false">IF(COUNT(E5,F5)=2,F5-E5,"")</f>
        <v>0.6</v>
      </c>
      <c r="J5" s="6" t="str">
        <f aca="false">IF(COUNT(E5,H5)=2,H5-E5,"")</f>
        <v/>
      </c>
      <c r="K5" s="6" t="n">
        <f aca="false">IF(COUNT(F5,G5)=2,F5-G5,"")</f>
        <v>1.32</v>
      </c>
      <c r="L5" s="7" t="n">
        <v>9</v>
      </c>
      <c r="M5" s="7" t="n">
        <v>9</v>
      </c>
      <c r="N5" s="7" t="n">
        <v>9</v>
      </c>
      <c r="O5" s="7" t="n">
        <v>1</v>
      </c>
      <c r="P5" s="7" t="n">
        <v>7.5</v>
      </c>
      <c r="Q5" s="7" t="n">
        <v>7.5</v>
      </c>
      <c r="R5" s="7" t="n">
        <v>8.5</v>
      </c>
      <c r="S5" s="7" t="n">
        <v>5</v>
      </c>
      <c r="T5" s="7" t="n">
        <v>7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6" t="n">
        <f aca="false">IF(COUNT(L5,P5)=2,P5-L5,"")</f>
        <v>-1.5</v>
      </c>
      <c r="AI5" s="6" t="n">
        <f aca="false">IF(COUNT(M5,Q5)=2,Q5-M5,"")</f>
        <v>-1.5</v>
      </c>
      <c r="AJ5" s="6" t="n">
        <f aca="false">IF(COUNT(N5,R5)=2,R5-N5,"")</f>
        <v>-0.5</v>
      </c>
      <c r="AK5" s="6" t="n">
        <f aca="false">IF(COUNT(O5,S5)=2,S5-O5,"")</f>
        <v>4</v>
      </c>
      <c r="AL5" s="6" t="str">
        <f aca="false">IF(COUNT(AB5,AC5)=2,AC5-AB5,"")</f>
        <v/>
      </c>
      <c r="AM5" s="6" t="str">
        <f aca="false">IF(COUNT(AD5,AE5)=2,AE5-AD5,"")</f>
        <v/>
      </c>
      <c r="AN5" s="6" t="str">
        <f aca="false">IF(COUNT(F5,H5)=2,H5-F5,"")</f>
        <v/>
      </c>
      <c r="AO5" s="8" t="n">
        <f aca="false">IF(COUNT(E5,F5)=2,(F5-E5)/E5,"")</f>
        <v>0.0412087912087912</v>
      </c>
      <c r="AP5" s="8" t="str">
        <f aca="false">IF(COUNT(E5,H5)=2,(H5-E5)/E5,"")</f>
        <v/>
      </c>
      <c r="AQ5" s="8" t="n">
        <f aca="false">IF(COUNT(E5,G5)=2,(G5-E5)/E5,"")</f>
        <v>-0.0494505494505495</v>
      </c>
    </row>
    <row r="6" customFormat="false" ht="15" hidden="false" customHeight="true" outlineLevel="0" collapsed="false">
      <c r="A6" s="4" t="s">
        <v>43</v>
      </c>
      <c r="B6" s="4" t="n">
        <v>187</v>
      </c>
      <c r="C6" s="4" t="s">
        <v>48</v>
      </c>
      <c r="D6" s="4" t="s">
        <v>49</v>
      </c>
      <c r="E6" s="5" t="n">
        <v>16.41</v>
      </c>
      <c r="F6" s="5" t="n">
        <v>18.72</v>
      </c>
      <c r="G6" s="5" t="n">
        <v>16.78</v>
      </c>
      <c r="H6" s="4"/>
      <c r="I6" s="6" t="n">
        <f aca="false">IF(COUNT(E6,F6)=2,F6-E6,"")</f>
        <v>2.31</v>
      </c>
      <c r="J6" s="6" t="str">
        <f aca="false">IF(COUNT(E6,H6)=2,H6-E6,"")</f>
        <v/>
      </c>
      <c r="K6" s="6" t="n">
        <f aca="false">IF(COUNT(F6,G6)=2,F6-G6,"")</f>
        <v>1.94</v>
      </c>
      <c r="L6" s="7" t="n">
        <v>9</v>
      </c>
      <c r="M6" s="7" t="n">
        <v>9</v>
      </c>
      <c r="N6" s="7" t="n">
        <v>9</v>
      </c>
      <c r="O6" s="7" t="n">
        <v>2</v>
      </c>
      <c r="P6" s="7" t="n">
        <v>8</v>
      </c>
      <c r="Q6" s="7" t="n">
        <v>9</v>
      </c>
      <c r="R6" s="7" t="n">
        <v>8</v>
      </c>
      <c r="S6" s="7" t="n">
        <v>1.5</v>
      </c>
      <c r="T6" s="7" t="n">
        <v>8.5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6" t="n">
        <f aca="false">IF(COUNT(L6,P6)=2,P6-L6,"")</f>
        <v>-1</v>
      </c>
      <c r="AI6" s="6" t="n">
        <f aca="false">IF(COUNT(M6,Q6)=2,Q6-M6,"")</f>
        <v>0</v>
      </c>
      <c r="AJ6" s="6" t="n">
        <f aca="false">IF(COUNT(N6,R6)=2,R6-N6,"")</f>
        <v>-1</v>
      </c>
      <c r="AK6" s="6" t="n">
        <f aca="false">IF(COUNT(O6,S6)=2,S6-O6,"")</f>
        <v>-0.5</v>
      </c>
      <c r="AL6" s="6" t="str">
        <f aca="false">IF(COUNT(AB6,AC6)=2,AC6-AB6,"")</f>
        <v/>
      </c>
      <c r="AM6" s="6" t="str">
        <f aca="false">IF(COUNT(AD6,AE6)=2,AE6-AD6,"")</f>
        <v/>
      </c>
      <c r="AN6" s="6" t="str">
        <f aca="false">IF(COUNT(F6,H6)=2,H6-F6,"")</f>
        <v/>
      </c>
      <c r="AO6" s="8" t="n">
        <f aca="false">IF(COUNT(E6,F6)=2,(F6-E6)/E6,"")</f>
        <v>0.140767824497258</v>
      </c>
      <c r="AP6" s="8" t="str">
        <f aca="false">IF(COUNT(E6,H6)=2,(H6-E6)/E6,"")</f>
        <v/>
      </c>
      <c r="AQ6" s="8" t="n">
        <f aca="false">IF(COUNT(E6,G6)=2,(G6-E6)/E6,"")</f>
        <v>0.0225472273004266</v>
      </c>
    </row>
    <row r="7" customFormat="false" ht="15" hidden="false" customHeight="true" outlineLevel="0" collapsed="false">
      <c r="A7" s="4" t="s">
        <v>43</v>
      </c>
      <c r="B7" s="4" t="n">
        <v>188</v>
      </c>
      <c r="C7" s="4" t="s">
        <v>48</v>
      </c>
      <c r="D7" s="4" t="s">
        <v>49</v>
      </c>
      <c r="E7" s="5" t="n">
        <v>16.97</v>
      </c>
      <c r="F7" s="5" t="n">
        <v>20.25</v>
      </c>
      <c r="G7" s="5" t="n">
        <v>16.25</v>
      </c>
      <c r="H7" s="4"/>
      <c r="I7" s="6" t="n">
        <f aca="false">IF(COUNT(E7,F7)=2,F7-E7,"")</f>
        <v>3.28</v>
      </c>
      <c r="J7" s="6" t="str">
        <f aca="false">IF(COUNT(E7,H7)=2,H7-E7,"")</f>
        <v/>
      </c>
      <c r="K7" s="6" t="n">
        <f aca="false">IF(COUNT(F7,G7)=2,F7-G7,"")</f>
        <v>4</v>
      </c>
      <c r="L7" s="7" t="n">
        <v>9</v>
      </c>
      <c r="M7" s="7" t="n">
        <v>9</v>
      </c>
      <c r="N7" s="7" t="n">
        <v>9</v>
      </c>
      <c r="O7" s="7" t="n">
        <v>1</v>
      </c>
      <c r="P7" s="7" t="n">
        <v>8</v>
      </c>
      <c r="Q7" s="7" t="n">
        <v>7.5</v>
      </c>
      <c r="R7" s="7" t="n">
        <v>9</v>
      </c>
      <c r="S7" s="7" t="n">
        <v>3</v>
      </c>
      <c r="T7" s="7" t="n">
        <v>8.5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6" t="n">
        <f aca="false">IF(COUNT(L7,P7)=2,P7-L7,"")</f>
        <v>-1</v>
      </c>
      <c r="AI7" s="6" t="n">
        <f aca="false">IF(COUNT(M7,Q7)=2,Q7-M7,"")</f>
        <v>-1.5</v>
      </c>
      <c r="AJ7" s="6" t="n">
        <f aca="false">IF(COUNT(N7,R7)=2,R7-N7,"")</f>
        <v>0</v>
      </c>
      <c r="AK7" s="6" t="n">
        <f aca="false">IF(COUNT(O7,S7)=2,S7-O7,"")</f>
        <v>2</v>
      </c>
      <c r="AL7" s="6" t="str">
        <f aca="false">IF(COUNT(AB7,AC7)=2,AC7-AB7,"")</f>
        <v/>
      </c>
      <c r="AM7" s="6" t="str">
        <f aca="false">IF(COUNT(AD7,AE7)=2,AE7-AD7,"")</f>
        <v/>
      </c>
      <c r="AN7" s="6" t="str">
        <f aca="false">IF(COUNT(F7,H7)=2,H7-F7,"")</f>
        <v/>
      </c>
      <c r="AO7" s="8" t="n">
        <f aca="false">IF(COUNT(E7,F7)=2,(F7-E7)/E7,"")</f>
        <v>0.193282262816736</v>
      </c>
      <c r="AP7" s="8" t="str">
        <f aca="false">IF(COUNT(E7,H7)=2,(H7-E7)/E7,"")</f>
        <v/>
      </c>
      <c r="AQ7" s="8" t="n">
        <f aca="false">IF(COUNT(E7,G7)=2,(G7-E7)/E7,"")</f>
        <v>-0.0424278137890394</v>
      </c>
    </row>
    <row r="8" customFormat="false" ht="15" hidden="false" customHeight="true" outlineLevel="0" collapsed="false">
      <c r="A8" s="4" t="s">
        <v>43</v>
      </c>
      <c r="B8" s="4" t="n">
        <v>189</v>
      </c>
      <c r="C8" s="4" t="s">
        <v>48</v>
      </c>
      <c r="D8" s="4" t="s">
        <v>50</v>
      </c>
      <c r="E8" s="5" t="n">
        <v>16.6</v>
      </c>
      <c r="F8" s="5" t="n">
        <v>17.22</v>
      </c>
      <c r="G8" s="5" t="n">
        <v>17.35</v>
      </c>
      <c r="H8" s="4"/>
      <c r="I8" s="6" t="n">
        <f aca="false">IF(COUNT(E8,F8)=2,F8-E8,"")</f>
        <v>0.619999999999997</v>
      </c>
      <c r="J8" s="6" t="str">
        <f aca="false">IF(COUNT(E8,H8)=2,H8-E8,"")</f>
        <v/>
      </c>
      <c r="K8" s="6" t="n">
        <f aca="false">IF(COUNT(F8,G8)=2,F8-G8,"")</f>
        <v>-0.130000000000003</v>
      </c>
      <c r="L8" s="7" t="n">
        <v>5</v>
      </c>
      <c r="M8" s="7" t="n">
        <v>8</v>
      </c>
      <c r="N8" s="7" t="n">
        <v>5</v>
      </c>
      <c r="O8" s="7" t="n">
        <v>7</v>
      </c>
      <c r="P8" s="7" t="n">
        <v>6.5</v>
      </c>
      <c r="Q8" s="7" t="n">
        <v>8.5</v>
      </c>
      <c r="R8" s="7" t="n">
        <v>3.5</v>
      </c>
      <c r="S8" s="7" t="n">
        <v>8</v>
      </c>
      <c r="T8" s="7" t="n">
        <v>8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6" t="n">
        <f aca="false">IF(COUNT(L8,P8)=2,P8-L8,"")</f>
        <v>1.5</v>
      </c>
      <c r="AI8" s="6" t="n">
        <f aca="false">IF(COUNT(M8,Q8)=2,Q8-M8,"")</f>
        <v>0.5</v>
      </c>
      <c r="AJ8" s="6" t="n">
        <f aca="false">IF(COUNT(N8,R8)=2,R8-N8,"")</f>
        <v>-1.5</v>
      </c>
      <c r="AK8" s="6" t="n">
        <f aca="false">IF(COUNT(O8,S8)=2,S8-O8,"")</f>
        <v>1</v>
      </c>
      <c r="AL8" s="6" t="str">
        <f aca="false">IF(COUNT(AB8,AC8)=2,AC8-AB8,"")</f>
        <v/>
      </c>
      <c r="AM8" s="6" t="str">
        <f aca="false">IF(COUNT(AD8,AE8)=2,AE8-AD8,"")</f>
        <v/>
      </c>
      <c r="AN8" s="6" t="str">
        <f aca="false">IF(COUNT(F8,H8)=2,H8-F8,"")</f>
        <v/>
      </c>
      <c r="AO8" s="8" t="n">
        <f aca="false">IF(COUNT(E8,F8)=2,(F8-E8)/E8,"")</f>
        <v>0.0373493975903613</v>
      </c>
      <c r="AP8" s="8" t="str">
        <f aca="false">IF(COUNT(E8,H8)=2,(H8-E8)/E8,"")</f>
        <v/>
      </c>
      <c r="AQ8" s="8" t="n">
        <f aca="false">IF(COUNT(E8,G8)=2,(G8-E8)/E8,"")</f>
        <v>0.0451807228915663</v>
      </c>
    </row>
    <row r="9" customFormat="false" ht="15" hidden="false" customHeight="true" outlineLevel="0" collapsed="false">
      <c r="A9" s="4" t="s">
        <v>43</v>
      </c>
      <c r="B9" s="4" t="n">
        <v>190</v>
      </c>
      <c r="C9" s="4" t="s">
        <v>48</v>
      </c>
      <c r="D9" s="4" t="s">
        <v>50</v>
      </c>
      <c r="E9" s="5" t="n">
        <v>16.07</v>
      </c>
      <c r="F9" s="5" t="n">
        <v>18.5</v>
      </c>
      <c r="G9" s="5" t="n">
        <v>17.25</v>
      </c>
      <c r="H9" s="4"/>
      <c r="I9" s="6" t="n">
        <f aca="false">IF(COUNT(E9,F9)=2,F9-E9,"")</f>
        <v>2.43</v>
      </c>
      <c r="J9" s="6" t="str">
        <f aca="false">IF(COUNT(E9,H9)=2,H9-E9,"")</f>
        <v/>
      </c>
      <c r="K9" s="6" t="n">
        <f aca="false">IF(COUNT(F9,G9)=2,F9-G9,"")</f>
        <v>1.25</v>
      </c>
      <c r="L9" s="7" t="n">
        <v>8</v>
      </c>
      <c r="M9" s="7" t="n">
        <v>9</v>
      </c>
      <c r="N9" s="7" t="n">
        <v>7</v>
      </c>
      <c r="O9" s="7" t="n">
        <v>1</v>
      </c>
      <c r="P9" s="7" t="n">
        <v>8</v>
      </c>
      <c r="Q9" s="7" t="n">
        <v>7</v>
      </c>
      <c r="R9" s="7" t="n">
        <v>8.5</v>
      </c>
      <c r="S9" s="7" t="n">
        <v>1</v>
      </c>
      <c r="T9" s="7" t="n">
        <v>6.5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6" t="n">
        <f aca="false">IF(COUNT(L9,P9)=2,P9-L9,"")</f>
        <v>0</v>
      </c>
      <c r="AI9" s="6" t="n">
        <f aca="false">IF(COUNT(M9,Q9)=2,Q9-M9,"")</f>
        <v>-2</v>
      </c>
      <c r="AJ9" s="6" t="n">
        <f aca="false">IF(COUNT(N9,R9)=2,R9-N9,"")</f>
        <v>1.5</v>
      </c>
      <c r="AK9" s="6" t="n">
        <f aca="false">IF(COUNT(O9,S9)=2,S9-O9,"")</f>
        <v>0</v>
      </c>
      <c r="AL9" s="6" t="str">
        <f aca="false">IF(COUNT(AB9,AC9)=2,AC9-AB9,"")</f>
        <v/>
      </c>
      <c r="AM9" s="6" t="str">
        <f aca="false">IF(COUNT(AD9,AE9)=2,AE9-AD9,"")</f>
        <v/>
      </c>
      <c r="AN9" s="6" t="str">
        <f aca="false">IF(COUNT(F9,H9)=2,H9-F9,"")</f>
        <v/>
      </c>
      <c r="AO9" s="8" t="n">
        <f aca="false">IF(COUNT(E9,F9)=2,(F9-E9)/E9,"")</f>
        <v>0.151213441194773</v>
      </c>
      <c r="AP9" s="8" t="str">
        <f aca="false">IF(COUNT(E9,H9)=2,(H9-E9)/E9,"")</f>
        <v/>
      </c>
      <c r="AQ9" s="8" t="n">
        <f aca="false">IF(COUNT(E9,G9)=2,(G9-E9)/E9,"")</f>
        <v>0.0734287492221531</v>
      </c>
    </row>
    <row r="10" customFormat="false" ht="15" hidden="false" customHeight="true" outlineLevel="0" collapsed="false">
      <c r="A10" s="4" t="s">
        <v>43</v>
      </c>
      <c r="B10" s="4" t="n">
        <v>191</v>
      </c>
      <c r="C10" s="4" t="s">
        <v>44</v>
      </c>
      <c r="D10" s="4" t="s">
        <v>45</v>
      </c>
      <c r="E10" s="5" t="n">
        <v>14.5</v>
      </c>
      <c r="F10" s="5" t="n">
        <v>15.6</v>
      </c>
      <c r="G10" s="5" t="n">
        <v>14.96</v>
      </c>
      <c r="H10" s="4"/>
      <c r="I10" s="6" t="n">
        <f aca="false">IF(COUNT(E10,F10)=2,F10-E10,"")</f>
        <v>1.1</v>
      </c>
      <c r="J10" s="6" t="str">
        <f aca="false">IF(COUNT(E10,H10)=2,H10-E10,"")</f>
        <v/>
      </c>
      <c r="K10" s="6" t="n">
        <f aca="false">IF(COUNT(F10,G10)=2,F10-G10,"")</f>
        <v>0.639999999999999</v>
      </c>
      <c r="L10" s="7" t="n">
        <v>9</v>
      </c>
      <c r="M10" s="7" t="n">
        <v>9</v>
      </c>
      <c r="N10" s="7" t="n">
        <v>9</v>
      </c>
      <c r="O10" s="7" t="n">
        <v>1</v>
      </c>
      <c r="P10" s="7" t="n">
        <v>9</v>
      </c>
      <c r="Q10" s="7" t="n">
        <v>9</v>
      </c>
      <c r="R10" s="7" t="n">
        <v>9</v>
      </c>
      <c r="S10" s="7" t="n">
        <v>1</v>
      </c>
      <c r="T10" s="7" t="n">
        <v>9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6" t="n">
        <f aca="false">IF(COUNT(L10,P10)=2,P10-L10,"")</f>
        <v>0</v>
      </c>
      <c r="AI10" s="6" t="n">
        <f aca="false">IF(COUNT(M10,Q10)=2,Q10-M10,"")</f>
        <v>0</v>
      </c>
      <c r="AJ10" s="6" t="n">
        <f aca="false">IF(COUNT(N10,R10)=2,R10-N10,"")</f>
        <v>0</v>
      </c>
      <c r="AK10" s="6" t="n">
        <f aca="false">IF(COUNT(O10,S10)=2,S10-O10,"")</f>
        <v>0</v>
      </c>
      <c r="AL10" s="6" t="str">
        <f aca="false">IF(COUNT(AB10,AC10)=2,AC10-AB10,"")</f>
        <v/>
      </c>
      <c r="AM10" s="6" t="str">
        <f aca="false">IF(COUNT(AD10,AE10)=2,AE10-AD10,"")</f>
        <v/>
      </c>
      <c r="AN10" s="6" t="str">
        <f aca="false">IF(COUNT(F10,H10)=2,H10-F10,"")</f>
        <v/>
      </c>
      <c r="AO10" s="8" t="n">
        <f aca="false">IF(COUNT(E10,F10)=2,(F10-E10)/E10,"")</f>
        <v>0.0758620689655172</v>
      </c>
      <c r="AP10" s="8" t="str">
        <f aca="false">IF(COUNT(E10,H10)=2,(H10-E10)/E10,"")</f>
        <v/>
      </c>
      <c r="AQ10" s="8" t="n">
        <f aca="false">IF(COUNT(E10,G10)=2,(G10-E10)/E10,"")</f>
        <v>0.0317241379310345</v>
      </c>
    </row>
    <row r="11" customFormat="false" ht="15" hidden="false" customHeight="true" outlineLevel="0" collapsed="false">
      <c r="A11" s="4" t="s">
        <v>43</v>
      </c>
      <c r="B11" s="4" t="n">
        <v>192</v>
      </c>
      <c r="C11" s="4" t="s">
        <v>44</v>
      </c>
      <c r="D11" s="4" t="s">
        <v>49</v>
      </c>
      <c r="E11" s="5" t="n">
        <v>14.06</v>
      </c>
      <c r="F11" s="5" t="n">
        <v>15.09</v>
      </c>
      <c r="G11" s="5" t="n">
        <v>14.06</v>
      </c>
      <c r="H11" s="4"/>
      <c r="I11" s="6" t="n">
        <f aca="false">IF(COUNT(E11,F11)=2,F11-E11,"")</f>
        <v>1.03</v>
      </c>
      <c r="J11" s="6" t="str">
        <f aca="false">IF(COUNT(E11,H11)=2,H11-E11,"")</f>
        <v/>
      </c>
      <c r="K11" s="6" t="n">
        <f aca="false">IF(COUNT(F11,G11)=2,F11-G11,"")</f>
        <v>1.03</v>
      </c>
      <c r="L11" s="7" t="n">
        <v>9</v>
      </c>
      <c r="M11" s="7" t="n">
        <v>9</v>
      </c>
      <c r="N11" s="7" t="n">
        <v>9</v>
      </c>
      <c r="O11" s="7" t="n">
        <v>1</v>
      </c>
      <c r="P11" s="7" t="n">
        <v>9</v>
      </c>
      <c r="Q11" s="7" t="n">
        <v>6.5</v>
      </c>
      <c r="R11" s="7" t="n">
        <v>8.5</v>
      </c>
      <c r="S11" s="7" t="n">
        <v>6.5</v>
      </c>
      <c r="T11" s="7" t="n">
        <v>6.5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6" t="n">
        <f aca="false">IF(COUNT(L11,P11)=2,P11-L11,"")</f>
        <v>0</v>
      </c>
      <c r="AI11" s="6" t="n">
        <f aca="false">IF(COUNT(M11,Q11)=2,Q11-M11,"")</f>
        <v>-2.5</v>
      </c>
      <c r="AJ11" s="6" t="n">
        <f aca="false">IF(COUNT(N11,R11)=2,R11-N11,"")</f>
        <v>-0.5</v>
      </c>
      <c r="AK11" s="6" t="n">
        <f aca="false">IF(COUNT(O11,S11)=2,S11-O11,"")</f>
        <v>5.5</v>
      </c>
      <c r="AL11" s="6" t="str">
        <f aca="false">IF(COUNT(AB11,AC11)=2,AC11-AB11,"")</f>
        <v/>
      </c>
      <c r="AM11" s="6" t="str">
        <f aca="false">IF(COUNT(AD11,AE11)=2,AE11-AD11,"")</f>
        <v/>
      </c>
      <c r="AN11" s="6" t="str">
        <f aca="false">IF(COUNT(F11,H11)=2,H11-F11,"")</f>
        <v/>
      </c>
      <c r="AO11" s="8" t="n">
        <f aca="false">IF(COUNT(E11,F11)=2,(F11-E11)/E11,"")</f>
        <v>0.0732574679943101</v>
      </c>
      <c r="AP11" s="8" t="str">
        <f aca="false">IF(COUNT(E11,H11)=2,(H11-E11)/E11,"")</f>
        <v/>
      </c>
      <c r="AQ11" s="8" t="n">
        <f aca="false">IF(COUNT(E11,G11)=2,(G11-E11)/E11,"")</f>
        <v>0</v>
      </c>
    </row>
    <row r="12" customFormat="false" ht="15" hidden="false" customHeight="true" outlineLevel="0" collapsed="false">
      <c r="A12" s="4" t="s">
        <v>43</v>
      </c>
      <c r="B12" s="4" t="n">
        <v>193</v>
      </c>
      <c r="C12" s="4" t="s">
        <v>48</v>
      </c>
      <c r="D12" s="4" t="s">
        <v>45</v>
      </c>
      <c r="E12" s="5" t="n">
        <v>15.63</v>
      </c>
      <c r="F12" s="5" t="n">
        <v>15.53</v>
      </c>
      <c r="G12" s="5" t="n">
        <v>14.63</v>
      </c>
      <c r="H12" s="4"/>
      <c r="I12" s="6" t="n">
        <f aca="false">IF(COUNT(E12,F12)=2,F12-E12,"")</f>
        <v>-0.100000000000001</v>
      </c>
      <c r="J12" s="6" t="str">
        <f aca="false">IF(COUNT(E12,H12)=2,H12-E12,"")</f>
        <v/>
      </c>
      <c r="K12" s="6" t="n">
        <f aca="false">IF(COUNT(F12,G12)=2,F12-G12,"")</f>
        <v>0.899999999999999</v>
      </c>
      <c r="L12" s="7" t="n">
        <v>9</v>
      </c>
      <c r="M12" s="7" t="n">
        <v>9</v>
      </c>
      <c r="N12" s="7" t="n">
        <v>9</v>
      </c>
      <c r="O12" s="7" t="n">
        <v>1</v>
      </c>
      <c r="P12" s="7" t="n">
        <v>9</v>
      </c>
      <c r="Q12" s="7" t="n">
        <v>8.5</v>
      </c>
      <c r="R12" s="7" t="n">
        <v>8.5</v>
      </c>
      <c r="S12" s="7" t="n">
        <v>1.5</v>
      </c>
      <c r="T12" s="7" t="n">
        <v>8.5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6" t="n">
        <f aca="false">IF(COUNT(L12,P12)=2,P12-L12,"")</f>
        <v>0</v>
      </c>
      <c r="AI12" s="6" t="n">
        <f aca="false">IF(COUNT(M12,Q12)=2,Q12-M12,"")</f>
        <v>-0.5</v>
      </c>
      <c r="AJ12" s="6" t="n">
        <f aca="false">IF(COUNT(N12,R12)=2,R12-N12,"")</f>
        <v>-0.5</v>
      </c>
      <c r="AK12" s="6" t="n">
        <f aca="false">IF(COUNT(O12,S12)=2,S12-O12,"")</f>
        <v>0.5</v>
      </c>
      <c r="AL12" s="6" t="str">
        <f aca="false">IF(COUNT(AB12,AC12)=2,AC12-AB12,"")</f>
        <v/>
      </c>
      <c r="AM12" s="6" t="str">
        <f aca="false">IF(COUNT(AD12,AE12)=2,AE12-AD12,"")</f>
        <v/>
      </c>
      <c r="AN12" s="6" t="str">
        <f aca="false">IF(COUNT(F12,H12)=2,H12-F12,"")</f>
        <v/>
      </c>
      <c r="AO12" s="8" t="n">
        <f aca="false">IF(COUNT(E12,F12)=2,(F12-E12)/E12,"")</f>
        <v>-0.00639795265515044</v>
      </c>
      <c r="AP12" s="8" t="str">
        <f aca="false">IF(COUNT(E12,H12)=2,(H12-E12)/E12,"")</f>
        <v/>
      </c>
      <c r="AQ12" s="8" t="n">
        <f aca="false">IF(COUNT(E12,G12)=2,(G12-E12)/E12,"")</f>
        <v>-0.0639795265515035</v>
      </c>
    </row>
    <row r="13" customFormat="false" ht="15" hidden="false" customHeight="true" outlineLevel="0" collapsed="false">
      <c r="A13" s="4" t="s">
        <v>43</v>
      </c>
      <c r="B13" s="4" t="n">
        <v>194</v>
      </c>
      <c r="C13" s="4" t="s">
        <v>44</v>
      </c>
      <c r="D13" s="4" t="s">
        <v>50</v>
      </c>
      <c r="E13" s="5" t="n">
        <v>13.37</v>
      </c>
      <c r="F13" s="5" t="n">
        <v>17.1</v>
      </c>
      <c r="G13" s="5" t="n">
        <v>16.66</v>
      </c>
      <c r="H13" s="4"/>
      <c r="I13" s="6" t="n">
        <f aca="false">IF(COUNT(E13,F13)=2,F13-E13,"")</f>
        <v>3.73</v>
      </c>
      <c r="J13" s="6" t="str">
        <f aca="false">IF(COUNT(E13,H13)=2,H13-E13,"")</f>
        <v/>
      </c>
      <c r="K13" s="6" t="n">
        <f aca="false">IF(COUNT(F13,G13)=2,F13-G13,"")</f>
        <v>0.440000000000001</v>
      </c>
      <c r="L13" s="7" t="n">
        <v>9</v>
      </c>
      <c r="M13" s="7" t="n">
        <v>9</v>
      </c>
      <c r="N13" s="7" t="n">
        <v>9</v>
      </c>
      <c r="O13" s="7" t="n">
        <v>1</v>
      </c>
      <c r="P13" s="7" t="n">
        <v>6</v>
      </c>
      <c r="Q13" s="7" t="n">
        <v>8.5</v>
      </c>
      <c r="R13" s="7" t="n">
        <v>8</v>
      </c>
      <c r="S13" s="7" t="n">
        <v>7.5</v>
      </c>
      <c r="T13" s="7" t="n">
        <v>8.5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6" t="n">
        <f aca="false">IF(COUNT(L13,P13)=2,P13-L13,"")</f>
        <v>-3</v>
      </c>
      <c r="AI13" s="6" t="n">
        <f aca="false">IF(COUNT(M13,Q13)=2,Q13-M13,"")</f>
        <v>-0.5</v>
      </c>
      <c r="AJ13" s="6" t="n">
        <f aca="false">IF(COUNT(N13,R13)=2,R13-N13,"")</f>
        <v>-1</v>
      </c>
      <c r="AK13" s="6" t="n">
        <f aca="false">IF(COUNT(O13,S13)=2,S13-O13,"")</f>
        <v>6.5</v>
      </c>
      <c r="AL13" s="6" t="str">
        <f aca="false">IF(COUNT(AB13,AC13)=2,AC13-AB13,"")</f>
        <v/>
      </c>
      <c r="AM13" s="6" t="str">
        <f aca="false">IF(COUNT(AD13,AE13)=2,AE13-AD13,"")</f>
        <v/>
      </c>
      <c r="AN13" s="6" t="str">
        <f aca="false">IF(COUNT(F13,H13)=2,H13-F13,"")</f>
        <v/>
      </c>
      <c r="AO13" s="8" t="n">
        <f aca="false">IF(COUNT(E13,F13)=2,(F13-E13)/E13,"")</f>
        <v>0.278982797307405</v>
      </c>
      <c r="AP13" s="8" t="str">
        <f aca="false">IF(COUNT(E13,H13)=2,(H13-E13)/E13,"")</f>
        <v/>
      </c>
      <c r="AQ13" s="8" t="n">
        <f aca="false">IF(COUNT(E13,G13)=2,(G13-E13)/E13,"")</f>
        <v>0.246073298429319</v>
      </c>
    </row>
    <row r="14" customFormat="false" ht="15" hidden="false" customHeight="true" outlineLevel="0" collapsed="false">
      <c r="A14" s="4" t="s">
        <v>43</v>
      </c>
      <c r="B14" s="4" t="n">
        <v>195</v>
      </c>
      <c r="C14" s="4" t="s">
        <v>48</v>
      </c>
      <c r="D14" s="4" t="s">
        <v>49</v>
      </c>
      <c r="E14" s="5" t="n">
        <v>14.91</v>
      </c>
      <c r="F14" s="5" t="n">
        <v>18.37</v>
      </c>
      <c r="G14" s="5" t="n">
        <v>15.57</v>
      </c>
      <c r="H14" s="4"/>
      <c r="I14" s="6" t="n">
        <f aca="false">IF(COUNT(E14,F14)=2,F14-E14,"")</f>
        <v>3.46</v>
      </c>
      <c r="J14" s="6" t="str">
        <f aca="false">IF(COUNT(E14,H14)=2,H14-E14,"")</f>
        <v/>
      </c>
      <c r="K14" s="6" t="n">
        <f aca="false">IF(COUNT(F14,G14)=2,F14-G14,"")</f>
        <v>2.8</v>
      </c>
      <c r="L14" s="7" t="n">
        <v>9</v>
      </c>
      <c r="M14" s="7" t="n">
        <v>9</v>
      </c>
      <c r="N14" s="7" t="n">
        <v>9</v>
      </c>
      <c r="O14" s="7" t="n">
        <v>1</v>
      </c>
      <c r="P14" s="7" t="n">
        <v>7.5</v>
      </c>
      <c r="Q14" s="7" t="n">
        <v>9</v>
      </c>
      <c r="R14" s="7" t="n">
        <v>8</v>
      </c>
      <c r="S14" s="7" t="n">
        <v>2</v>
      </c>
      <c r="T14" s="7" t="n">
        <v>9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6" t="n">
        <f aca="false">IF(COUNT(L14,P14)=2,P14-L14,"")</f>
        <v>-1.5</v>
      </c>
      <c r="AI14" s="6" t="n">
        <f aca="false">IF(COUNT(M14,Q14)=2,Q14-M14,"")</f>
        <v>0</v>
      </c>
      <c r="AJ14" s="6" t="n">
        <f aca="false">IF(COUNT(N14,R14)=2,R14-N14,"")</f>
        <v>-1</v>
      </c>
      <c r="AK14" s="6" t="n">
        <f aca="false">IF(COUNT(O14,S14)=2,S14-O14,"")</f>
        <v>1</v>
      </c>
      <c r="AL14" s="6" t="str">
        <f aca="false">IF(COUNT(AB14,AC14)=2,AC14-AB14,"")</f>
        <v/>
      </c>
      <c r="AM14" s="6" t="str">
        <f aca="false">IF(COUNT(AD14,AE14)=2,AE14-AD14,"")</f>
        <v/>
      </c>
      <c r="AN14" s="6" t="str">
        <f aca="false">IF(COUNT(F14,H14)=2,H14-F14,"")</f>
        <v/>
      </c>
      <c r="AO14" s="8" t="n">
        <f aca="false">IF(COUNT(E14,F14)=2,(F14-E14)/E14,"")</f>
        <v>0.232059020791415</v>
      </c>
      <c r="AP14" s="8" t="str">
        <f aca="false">IF(COUNT(E14,H14)=2,(H14-E14)/E14,"")</f>
        <v/>
      </c>
      <c r="AQ14" s="8" t="n">
        <f aca="false">IF(COUNT(E14,G14)=2,(G14-E14)/E14,"")</f>
        <v>0.0442655935613682</v>
      </c>
    </row>
    <row r="15" customFormat="false" ht="15" hidden="false" customHeight="true" outlineLevel="0" collapsed="false">
      <c r="A15" s="4" t="s">
        <v>43</v>
      </c>
      <c r="B15" s="4" t="n">
        <v>196</v>
      </c>
      <c r="C15" s="4" t="s">
        <v>48</v>
      </c>
      <c r="D15" s="4" t="s">
        <v>45</v>
      </c>
      <c r="E15" s="5" t="n">
        <v>15.84</v>
      </c>
      <c r="F15" s="5" t="n">
        <v>18.43</v>
      </c>
      <c r="G15" s="5" t="n">
        <v>18.4</v>
      </c>
      <c r="H15" s="4"/>
      <c r="I15" s="6" t="n">
        <f aca="false">IF(COUNT(E15,F15)=2,F15-E15,"")</f>
        <v>2.59</v>
      </c>
      <c r="J15" s="6" t="str">
        <f aca="false">IF(COUNT(E15,H15)=2,H15-E15,"")</f>
        <v/>
      </c>
      <c r="K15" s="6" t="n">
        <f aca="false">IF(COUNT(F15,G15)=2,F15-G15,"")</f>
        <v>0.0300000000000011</v>
      </c>
      <c r="L15" s="7" t="n">
        <v>9</v>
      </c>
      <c r="M15" s="7" t="n">
        <v>9</v>
      </c>
      <c r="N15" s="7" t="n">
        <v>9</v>
      </c>
      <c r="O15" s="7" t="n">
        <v>9</v>
      </c>
      <c r="P15" s="7" t="n">
        <v>7</v>
      </c>
      <c r="Q15" s="7" t="n">
        <v>8.5</v>
      </c>
      <c r="R15" s="7" t="n">
        <v>7</v>
      </c>
      <c r="S15" s="7" t="n">
        <v>6</v>
      </c>
      <c r="T15" s="7" t="n">
        <v>8.5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6" t="n">
        <f aca="false">IF(COUNT(L15,P15)=2,P15-L15,"")</f>
        <v>-2</v>
      </c>
      <c r="AI15" s="6" t="n">
        <f aca="false">IF(COUNT(M15,Q15)=2,Q15-M15,"")</f>
        <v>-0.5</v>
      </c>
      <c r="AJ15" s="6" t="n">
        <f aca="false">IF(COUNT(N15,R15)=2,R15-N15,"")</f>
        <v>-2</v>
      </c>
      <c r="AK15" s="6" t="n">
        <f aca="false">IF(COUNT(O15,S15)=2,S15-O15,"")</f>
        <v>-3</v>
      </c>
      <c r="AL15" s="6" t="str">
        <f aca="false">IF(COUNT(AB15,AC15)=2,AC15-AB15,"")</f>
        <v/>
      </c>
      <c r="AM15" s="6" t="str">
        <f aca="false">IF(COUNT(AD15,AE15)=2,AE15-AD15,"")</f>
        <v/>
      </c>
      <c r="AN15" s="6" t="str">
        <f aca="false">IF(COUNT(F15,H15)=2,H15-F15,"")</f>
        <v/>
      </c>
      <c r="AO15" s="8" t="n">
        <f aca="false">IF(COUNT(E15,F15)=2,(F15-E15)/E15,"")</f>
        <v>0.163510101010101</v>
      </c>
      <c r="AP15" s="8" t="str">
        <f aca="false">IF(COUNT(E15,H15)=2,(H15-E15)/E15,"")</f>
        <v/>
      </c>
      <c r="AQ15" s="8" t="n">
        <f aca="false">IF(COUNT(E15,G15)=2,(G15-E15)/E15,"")</f>
        <v>0.161616161616162</v>
      </c>
    </row>
    <row r="16" customFormat="false" ht="15" hidden="false" customHeight="true" outlineLevel="0" collapsed="false">
      <c r="A16" s="4" t="s">
        <v>43</v>
      </c>
      <c r="B16" s="4" t="n">
        <v>197</v>
      </c>
      <c r="C16" s="4" t="s">
        <v>48</v>
      </c>
      <c r="D16" s="4" t="s">
        <v>50</v>
      </c>
      <c r="E16" s="5" t="n">
        <v>13.46</v>
      </c>
      <c r="F16" s="5" t="n">
        <v>15.22</v>
      </c>
      <c r="G16" s="5" t="n">
        <v>15</v>
      </c>
      <c r="H16" s="4"/>
      <c r="I16" s="6" t="n">
        <f aca="false">IF(COUNT(E16,F16)=2,F16-E16,"")</f>
        <v>1.76</v>
      </c>
      <c r="J16" s="6" t="str">
        <f aca="false">IF(COUNT(E16,H16)=2,H16-E16,"")</f>
        <v/>
      </c>
      <c r="K16" s="6" t="n">
        <f aca="false">IF(COUNT(F16,G16)=2,F16-G16,"")</f>
        <v>0.220000000000001</v>
      </c>
      <c r="L16" s="7" t="n">
        <v>9</v>
      </c>
      <c r="M16" s="7" t="n">
        <v>9</v>
      </c>
      <c r="N16" s="7" t="n">
        <v>8</v>
      </c>
      <c r="O16" s="7" t="n">
        <v>2</v>
      </c>
      <c r="P16" s="7" t="n">
        <v>6.5</v>
      </c>
      <c r="Q16" s="7" t="n">
        <v>7</v>
      </c>
      <c r="R16" s="7" t="n">
        <v>5.5</v>
      </c>
      <c r="S16" s="7" t="n">
        <v>5</v>
      </c>
      <c r="T16" s="7" t="n">
        <v>7.5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6" t="n">
        <f aca="false">IF(COUNT(L16,P16)=2,P16-L16,"")</f>
        <v>-2.5</v>
      </c>
      <c r="AI16" s="6" t="n">
        <f aca="false">IF(COUNT(M16,Q16)=2,Q16-M16,"")</f>
        <v>-2</v>
      </c>
      <c r="AJ16" s="6" t="n">
        <f aca="false">IF(COUNT(N16,R16)=2,R16-N16,"")</f>
        <v>-2.5</v>
      </c>
      <c r="AK16" s="6" t="n">
        <f aca="false">IF(COUNT(O16,S16)=2,S16-O16,"")</f>
        <v>3</v>
      </c>
      <c r="AL16" s="6" t="str">
        <f aca="false">IF(COUNT(AB16,AC16)=2,AC16-AB16,"")</f>
        <v/>
      </c>
      <c r="AM16" s="6" t="str">
        <f aca="false">IF(COUNT(AD16,AE16)=2,AE16-AD16,"")</f>
        <v/>
      </c>
      <c r="AN16" s="6" t="str">
        <f aca="false">IF(COUNT(F16,H16)=2,H16-F16,"")</f>
        <v/>
      </c>
      <c r="AO16" s="8" t="n">
        <f aca="false">IF(COUNT(E16,F16)=2,(F16-E16)/E16,"")</f>
        <v>0.13075780089153</v>
      </c>
      <c r="AP16" s="8" t="str">
        <f aca="false">IF(COUNT(E16,H16)=2,(H16-E16)/E16,"")</f>
        <v/>
      </c>
      <c r="AQ16" s="8" t="n">
        <f aca="false">IF(COUNT(E16,G16)=2,(G16-E16)/E16,"")</f>
        <v>0.114413075780089</v>
      </c>
    </row>
    <row r="17" customFormat="false" ht="15" hidden="false" customHeight="true" outlineLevel="0" collapsed="false">
      <c r="A17" s="4" t="s">
        <v>43</v>
      </c>
      <c r="B17" s="4" t="n">
        <v>198</v>
      </c>
      <c r="C17" s="4" t="s">
        <v>44</v>
      </c>
      <c r="D17" s="4" t="s">
        <v>45</v>
      </c>
      <c r="E17" s="5" t="n">
        <v>15.81</v>
      </c>
      <c r="F17" s="5" t="n">
        <v>15.13</v>
      </c>
      <c r="G17" s="5" t="n">
        <v>16.22</v>
      </c>
      <c r="H17" s="4"/>
      <c r="I17" s="6" t="n">
        <f aca="false">IF(COUNT(E17,F17)=2,F17-E17,"")</f>
        <v>-0.68</v>
      </c>
      <c r="J17" s="6" t="str">
        <f aca="false">IF(COUNT(E17,H17)=2,H17-E17,"")</f>
        <v/>
      </c>
      <c r="K17" s="6" t="n">
        <f aca="false">IF(COUNT(F17,G17)=2,F17-G17,"")</f>
        <v>-1.09</v>
      </c>
      <c r="L17" s="7" t="n">
        <v>9</v>
      </c>
      <c r="M17" s="7" t="n">
        <v>9</v>
      </c>
      <c r="N17" s="7" t="n">
        <v>8</v>
      </c>
      <c r="O17" s="7" t="n">
        <v>1</v>
      </c>
      <c r="P17" s="7" t="n">
        <v>9</v>
      </c>
      <c r="Q17" s="7" t="n">
        <v>9</v>
      </c>
      <c r="R17" s="7" t="n">
        <v>9</v>
      </c>
      <c r="S17" s="7" t="n">
        <v>2.5</v>
      </c>
      <c r="T17" s="7" t="n">
        <v>8.5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6" t="n">
        <f aca="false">IF(COUNT(L17,P17)=2,P17-L17,"")</f>
        <v>0</v>
      </c>
      <c r="AI17" s="6" t="n">
        <f aca="false">IF(COUNT(M17,Q17)=2,Q17-M17,"")</f>
        <v>0</v>
      </c>
      <c r="AJ17" s="6" t="n">
        <f aca="false">IF(COUNT(N17,R17)=2,R17-N17,"")</f>
        <v>1</v>
      </c>
      <c r="AK17" s="6" t="n">
        <f aca="false">IF(COUNT(O17,S17)=2,S17-O17,"")</f>
        <v>1.5</v>
      </c>
      <c r="AL17" s="6" t="str">
        <f aca="false">IF(COUNT(AB17,AC17)=2,AC17-AB17,"")</f>
        <v/>
      </c>
      <c r="AM17" s="6" t="str">
        <f aca="false">IF(COUNT(AD17,AE17)=2,AE17-AD17,"")</f>
        <v/>
      </c>
      <c r="AN17" s="6" t="str">
        <f aca="false">IF(COUNT(F17,H17)=2,H17-F17,"")</f>
        <v/>
      </c>
      <c r="AO17" s="8" t="n">
        <f aca="false">IF(COUNT(E17,F17)=2,(F17-E17)/E17,"")</f>
        <v>-0.043010752688172</v>
      </c>
      <c r="AP17" s="8" t="str">
        <f aca="false">IF(COUNT(E17,H17)=2,(H17-E17)/E17,"")</f>
        <v/>
      </c>
      <c r="AQ17" s="8" t="n">
        <f aca="false">IF(COUNT(E17,G17)=2,(G17-E17)/E17,"")</f>
        <v>0.0259329538266919</v>
      </c>
    </row>
    <row r="18" customFormat="false" ht="15" hidden="false" customHeight="true" outlineLevel="0" collapsed="false">
      <c r="A18" s="4" t="s">
        <v>43</v>
      </c>
      <c r="B18" s="4" t="n">
        <v>199</v>
      </c>
      <c r="C18" s="4" t="s">
        <v>44</v>
      </c>
      <c r="D18" s="4" t="s">
        <v>49</v>
      </c>
      <c r="E18" s="5" t="n">
        <v>17.37</v>
      </c>
      <c r="F18" s="5" t="n">
        <v>16.81</v>
      </c>
      <c r="G18" s="5" t="n">
        <v>17.44</v>
      </c>
      <c r="H18" s="4"/>
      <c r="I18" s="6" t="n">
        <f aca="false">IF(COUNT(E18,F18)=2,F18-E18,"")</f>
        <v>-0.560000000000002</v>
      </c>
      <c r="J18" s="6" t="str">
        <f aca="false">IF(COUNT(E18,H18)=2,H18-E18,"")</f>
        <v/>
      </c>
      <c r="K18" s="6" t="n">
        <f aca="false">IF(COUNT(F18,G18)=2,F18-G18,"")</f>
        <v>-0.630000000000003</v>
      </c>
      <c r="L18" s="7" t="n">
        <v>8</v>
      </c>
      <c r="M18" s="7" t="n">
        <v>9</v>
      </c>
      <c r="N18" s="7" t="n">
        <v>8</v>
      </c>
      <c r="O18" s="7" t="n">
        <v>4</v>
      </c>
      <c r="P18" s="7" t="n">
        <v>7.5</v>
      </c>
      <c r="Q18" s="7" t="n">
        <v>7</v>
      </c>
      <c r="R18" s="7" t="n">
        <v>8</v>
      </c>
      <c r="S18" s="7" t="n">
        <v>3</v>
      </c>
      <c r="T18" s="7" t="n">
        <v>7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6" t="n">
        <f aca="false">IF(COUNT(L18,P18)=2,P18-L18,"")</f>
        <v>-0.5</v>
      </c>
      <c r="AI18" s="6" t="n">
        <f aca="false">IF(COUNT(M18,Q18)=2,Q18-M18,"")</f>
        <v>-2</v>
      </c>
      <c r="AJ18" s="6" t="n">
        <f aca="false">IF(COUNT(N18,R18)=2,R18-N18,"")</f>
        <v>0</v>
      </c>
      <c r="AK18" s="6" t="n">
        <f aca="false">IF(COUNT(O18,S18)=2,S18-O18,"")</f>
        <v>-1</v>
      </c>
      <c r="AL18" s="6" t="str">
        <f aca="false">IF(COUNT(AB18,AC18)=2,AC18-AB18,"")</f>
        <v/>
      </c>
      <c r="AM18" s="6" t="str">
        <f aca="false">IF(COUNT(AD18,AE18)=2,AE18-AD18,"")</f>
        <v/>
      </c>
      <c r="AN18" s="6" t="str">
        <f aca="false">IF(COUNT(F18,H18)=2,H18-F18,"")</f>
        <v/>
      </c>
      <c r="AO18" s="8" t="n">
        <f aca="false">IF(COUNT(E18,F18)=2,(F18-E18)/E18,"")</f>
        <v>-0.0322394933793899</v>
      </c>
      <c r="AP18" s="8" t="str">
        <f aca="false">IF(COUNT(E18,H18)=2,(H18-E18)/E18,"")</f>
        <v/>
      </c>
      <c r="AQ18" s="8" t="n">
        <f aca="false">IF(COUNT(E18,G18)=2,(G18-E18)/E18,"")</f>
        <v>0.00402993667242374</v>
      </c>
    </row>
    <row r="19" customFormat="false" ht="15" hidden="false" customHeight="true" outlineLevel="0" collapsed="false">
      <c r="A19" s="4" t="s">
        <v>43</v>
      </c>
      <c r="B19" s="4" t="n">
        <v>200</v>
      </c>
      <c r="C19" s="4" t="s">
        <v>48</v>
      </c>
      <c r="D19" s="4" t="s">
        <v>50</v>
      </c>
      <c r="E19" s="5" t="n">
        <v>12.22</v>
      </c>
      <c r="F19" s="5" t="n">
        <v>13.9</v>
      </c>
      <c r="G19" s="5" t="n">
        <v>14.28</v>
      </c>
      <c r="H19" s="4"/>
      <c r="I19" s="6" t="n">
        <f aca="false">IF(COUNT(E19,F19)=2,F19-E19,"")</f>
        <v>1.68</v>
      </c>
      <c r="J19" s="6" t="str">
        <f aca="false">IF(COUNT(E19,H19)=2,H19-E19,"")</f>
        <v/>
      </c>
      <c r="K19" s="6" t="n">
        <f aca="false">IF(COUNT(F19,G19)=2,F19-G19,"")</f>
        <v>-0.379999999999999</v>
      </c>
      <c r="L19" s="7" t="n">
        <v>9</v>
      </c>
      <c r="M19" s="7" t="n">
        <v>9</v>
      </c>
      <c r="N19" s="7" t="n">
        <v>9</v>
      </c>
      <c r="O19" s="7" t="n">
        <v>1</v>
      </c>
      <c r="P19" s="7" t="n">
        <v>8</v>
      </c>
      <c r="Q19" s="7" t="n">
        <v>8</v>
      </c>
      <c r="R19" s="7" t="n">
        <v>9</v>
      </c>
      <c r="S19" s="7" t="n">
        <v>5</v>
      </c>
      <c r="T19" s="7" t="n">
        <v>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6" t="n">
        <f aca="false">IF(COUNT(L19,P19)=2,P19-L19,"")</f>
        <v>-1</v>
      </c>
      <c r="AI19" s="6" t="n">
        <f aca="false">IF(COUNT(M19,Q19)=2,Q19-M19,"")</f>
        <v>-1</v>
      </c>
      <c r="AJ19" s="6" t="n">
        <f aca="false">IF(COUNT(N19,R19)=2,R19-N19,"")</f>
        <v>0</v>
      </c>
      <c r="AK19" s="6" t="n">
        <f aca="false">IF(COUNT(O19,S19)=2,S19-O19,"")</f>
        <v>4</v>
      </c>
      <c r="AL19" s="6" t="str">
        <f aca="false">IF(COUNT(AB19,AC19)=2,AC19-AB19,"")</f>
        <v/>
      </c>
      <c r="AM19" s="6" t="str">
        <f aca="false">IF(COUNT(AD19,AE19)=2,AE19-AD19,"")</f>
        <v/>
      </c>
      <c r="AN19" s="6" t="str">
        <f aca="false">IF(COUNT(F19,H19)=2,H19-F19,"")</f>
        <v/>
      </c>
      <c r="AO19" s="8" t="n">
        <f aca="false">IF(COUNT(E19,F19)=2,(F19-E19)/E19,"")</f>
        <v>0.137479541734861</v>
      </c>
      <c r="AP19" s="8" t="str">
        <f aca="false">IF(COUNT(E19,H19)=2,(H19-E19)/E19,"")</f>
        <v/>
      </c>
      <c r="AQ19" s="8" t="n">
        <f aca="false">IF(COUNT(E19,G19)=2,(G19-E19)/E19,"")</f>
        <v>0.168576104746317</v>
      </c>
    </row>
    <row r="20" customFormat="false" ht="15" hidden="false" customHeight="true" outlineLevel="0" collapsed="false">
      <c r="A20" s="4" t="s">
        <v>43</v>
      </c>
      <c r="B20" s="4" t="n">
        <v>201</v>
      </c>
      <c r="C20" s="4" t="s">
        <v>44</v>
      </c>
      <c r="D20" s="4" t="s">
        <v>49</v>
      </c>
      <c r="E20" s="5" t="n">
        <v>17.72</v>
      </c>
      <c r="F20" s="5" t="n">
        <v>20.78</v>
      </c>
      <c r="G20" s="5" t="n">
        <v>20.94</v>
      </c>
      <c r="H20" s="4"/>
      <c r="I20" s="6" t="n">
        <f aca="false">IF(COUNT(E20,F20)=2,F20-E20,"")</f>
        <v>3.06</v>
      </c>
      <c r="J20" s="6" t="str">
        <f aca="false">IF(COUNT(E20,H20)=2,H20-E20,"")</f>
        <v/>
      </c>
      <c r="K20" s="6" t="n">
        <f aca="false">IF(COUNT(F20,G20)=2,F20-G20,"")</f>
        <v>-0.16</v>
      </c>
      <c r="L20" s="7" t="n">
        <v>9</v>
      </c>
      <c r="M20" s="7" t="n">
        <v>9</v>
      </c>
      <c r="N20" s="7" t="n">
        <v>9</v>
      </c>
      <c r="O20" s="7" t="n">
        <v>1</v>
      </c>
      <c r="P20" s="7" t="n">
        <v>8</v>
      </c>
      <c r="Q20" s="7" t="n">
        <v>9</v>
      </c>
      <c r="R20" s="7" t="n">
        <v>8</v>
      </c>
      <c r="S20" s="7" t="n">
        <v>1.5</v>
      </c>
      <c r="T20" s="7" t="n">
        <v>9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6" t="n">
        <f aca="false">IF(COUNT(L20,P20)=2,P20-L20,"")</f>
        <v>-1</v>
      </c>
      <c r="AI20" s="6" t="n">
        <f aca="false">IF(COUNT(M20,Q20)=2,Q20-M20,"")</f>
        <v>0</v>
      </c>
      <c r="AJ20" s="6" t="n">
        <f aca="false">IF(COUNT(N20,R20)=2,R20-N20,"")</f>
        <v>-1</v>
      </c>
      <c r="AK20" s="6" t="n">
        <f aca="false">IF(COUNT(O20,S20)=2,S20-O20,"")</f>
        <v>0.5</v>
      </c>
      <c r="AL20" s="6" t="str">
        <f aca="false">IF(COUNT(AB20,AC20)=2,AC20-AB20,"")</f>
        <v/>
      </c>
      <c r="AM20" s="6" t="str">
        <f aca="false">IF(COUNT(AD20,AE20)=2,AE20-AD20,"")</f>
        <v/>
      </c>
      <c r="AN20" s="6" t="str">
        <f aca="false">IF(COUNT(F20,H20)=2,H20-F20,"")</f>
        <v/>
      </c>
      <c r="AO20" s="8" t="n">
        <f aca="false">IF(COUNT(E20,F20)=2,(F20-E20)/E20,"")</f>
        <v>0.172686230248307</v>
      </c>
      <c r="AP20" s="8" t="str">
        <f aca="false">IF(COUNT(E20,H20)=2,(H20-E20)/E20,"")</f>
        <v/>
      </c>
      <c r="AQ20" s="8" t="n">
        <f aca="false">IF(COUNT(E20,G20)=2,(G20-E20)/E20,"")</f>
        <v>0.181715575620768</v>
      </c>
    </row>
    <row r="21" customFormat="false" ht="15" hidden="false" customHeight="true" outlineLevel="0" collapsed="false">
      <c r="A21" s="4" t="s">
        <v>43</v>
      </c>
      <c r="B21" s="4" t="n">
        <v>202</v>
      </c>
      <c r="C21" s="4" t="s">
        <v>48</v>
      </c>
      <c r="D21" s="4" t="s">
        <v>50</v>
      </c>
      <c r="E21" s="5" t="n">
        <v>17.75</v>
      </c>
      <c r="F21" s="5" t="n">
        <v>22.16</v>
      </c>
      <c r="G21" s="5" t="n">
        <v>20.22</v>
      </c>
      <c r="H21" s="4"/>
      <c r="I21" s="6" t="n">
        <f aca="false">IF(COUNT(E21,F21)=2,F21-E21,"")</f>
        <v>4.41</v>
      </c>
      <c r="J21" s="6" t="str">
        <f aca="false">IF(COUNT(E21,H21)=2,H21-E21,"")</f>
        <v/>
      </c>
      <c r="K21" s="6" t="n">
        <f aca="false">IF(COUNT(F21,G21)=2,F21-G21,"")</f>
        <v>1.94</v>
      </c>
      <c r="L21" s="7" t="n">
        <v>9</v>
      </c>
      <c r="M21" s="7" t="n">
        <v>9</v>
      </c>
      <c r="N21" s="7" t="n">
        <v>8</v>
      </c>
      <c r="O21" s="7" t="n">
        <v>2</v>
      </c>
      <c r="P21" s="7" t="n">
        <v>9</v>
      </c>
      <c r="Q21" s="7" t="n">
        <v>9</v>
      </c>
      <c r="R21" s="7" t="n">
        <v>8</v>
      </c>
      <c r="S21" s="7" t="n">
        <v>2.5</v>
      </c>
      <c r="T21" s="7" t="n">
        <v>9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6" t="n">
        <f aca="false">IF(COUNT(L21,P21)=2,P21-L21,"")</f>
        <v>0</v>
      </c>
      <c r="AI21" s="6" t="n">
        <f aca="false">IF(COUNT(M21,Q21)=2,Q21-M21,"")</f>
        <v>0</v>
      </c>
      <c r="AJ21" s="6" t="n">
        <f aca="false">IF(COUNT(N21,R21)=2,R21-N21,"")</f>
        <v>0</v>
      </c>
      <c r="AK21" s="6" t="n">
        <f aca="false">IF(COUNT(O21,S21)=2,S21-O21,"")</f>
        <v>0.5</v>
      </c>
      <c r="AL21" s="6" t="str">
        <f aca="false">IF(COUNT(AB21,AC21)=2,AC21-AB21,"")</f>
        <v/>
      </c>
      <c r="AM21" s="6" t="str">
        <f aca="false">IF(COUNT(AD21,AE21)=2,AE21-AD21,"")</f>
        <v/>
      </c>
      <c r="AN21" s="6" t="str">
        <f aca="false">IF(COUNT(F21,H21)=2,H21-F21,"")</f>
        <v/>
      </c>
      <c r="AO21" s="8" t="n">
        <f aca="false">IF(COUNT(E21,F21)=2,(F21-E21)/E21,"")</f>
        <v>0.248450704225352</v>
      </c>
      <c r="AP21" s="8" t="str">
        <f aca="false">IF(COUNT(E21,H21)=2,(H21-E21)/E21,"")</f>
        <v/>
      </c>
      <c r="AQ21" s="8" t="n">
        <f aca="false">IF(COUNT(E21,G21)=2,(G21-E21)/E21,"")</f>
        <v>0.139154929577465</v>
      </c>
    </row>
    <row r="22" customFormat="false" ht="15" hidden="false" customHeight="true" outlineLevel="0" collapsed="false">
      <c r="A22" s="9" t="s">
        <v>52</v>
      </c>
      <c r="B22" s="9" t="n">
        <v>106</v>
      </c>
      <c r="C22" s="9" t="s">
        <v>48</v>
      </c>
      <c r="D22" s="9" t="s">
        <v>53</v>
      </c>
      <c r="E22" s="10" t="n">
        <v>15.09</v>
      </c>
      <c r="F22" s="10" t="n">
        <v>20</v>
      </c>
      <c r="G22" s="9"/>
      <c r="H22" s="10" t="n">
        <v>16.96</v>
      </c>
      <c r="I22" s="11" t="n">
        <f aca="false">IF(COUNT(E22,F22)=2,F22-E22,"")</f>
        <v>4.91</v>
      </c>
      <c r="J22" s="11" t="n">
        <f aca="false">IF(COUNT(E22,H22)=2,H22-E22,"")</f>
        <v>1.87</v>
      </c>
      <c r="K22" s="11" t="str">
        <f aca="false">IF(COUNT(F22,G22)=2,F22-G22,"")</f>
        <v/>
      </c>
      <c r="L22" s="12" t="n">
        <v>9</v>
      </c>
      <c r="M22" s="12" t="n">
        <v>9</v>
      </c>
      <c r="N22" s="12" t="n">
        <v>9</v>
      </c>
      <c r="O22" s="12" t="n">
        <v>1</v>
      </c>
      <c r="P22" s="12" t="n">
        <v>8</v>
      </c>
      <c r="Q22" s="12" t="n">
        <v>6</v>
      </c>
      <c r="R22" s="12" t="n">
        <v>8</v>
      </c>
      <c r="S22" s="12" t="n">
        <v>2</v>
      </c>
      <c r="T22" s="12" t="n">
        <v>8</v>
      </c>
      <c r="U22" s="12" t="n">
        <v>9</v>
      </c>
      <c r="V22" s="12" t="n">
        <v>8</v>
      </c>
      <c r="W22" s="12" t="n">
        <v>9</v>
      </c>
      <c r="X22" s="12" t="n">
        <v>1</v>
      </c>
      <c r="Y22" s="12" t="n">
        <v>8</v>
      </c>
      <c r="Z22" s="9" t="s">
        <v>54</v>
      </c>
      <c r="AA22" s="9" t="s">
        <v>47</v>
      </c>
      <c r="AB22" s="12" t="n">
        <v>7</v>
      </c>
      <c r="AC22" s="12" t="n">
        <v>9</v>
      </c>
      <c r="AD22" s="12" t="n">
        <v>7</v>
      </c>
      <c r="AE22" s="12" t="n">
        <v>8</v>
      </c>
      <c r="AF22" s="9"/>
      <c r="AG22" s="9"/>
      <c r="AH22" s="11" t="n">
        <f aca="false">IF(COUNT(L22,P22)=2,P22-L22,"")</f>
        <v>-1</v>
      </c>
      <c r="AI22" s="11" t="n">
        <f aca="false">IF(COUNT(M22,Q22)=2,Q22-M22,"")</f>
        <v>-3</v>
      </c>
      <c r="AJ22" s="11" t="n">
        <f aca="false">IF(COUNT(N22,R22)=2,R22-N22,"")</f>
        <v>-1</v>
      </c>
      <c r="AK22" s="11" t="n">
        <f aca="false">IF(COUNT(O22,S22)=2,S22-O22,"")</f>
        <v>1</v>
      </c>
      <c r="AL22" s="11" t="n">
        <f aca="false">IF(COUNT(AB22,AC22)=2,AC22-AB22,"")</f>
        <v>2</v>
      </c>
      <c r="AM22" s="11" t="n">
        <f aca="false">IF(COUNT(AD22,AE22)=2,AE22-AD22,"")</f>
        <v>1</v>
      </c>
      <c r="AN22" s="11" t="n">
        <f aca="false">IF(COUNT(F22,H22)=2,H22-F22,"")</f>
        <v>-3.04</v>
      </c>
      <c r="AO22" s="8" t="n">
        <f aca="false">IF(COUNT(E22,F22)=2,(F22-E22)/E22,"")</f>
        <v>0.325381047051027</v>
      </c>
      <c r="AP22" s="8" t="n">
        <f aca="false">IF(COUNT(E22,H22)=2,(H22-E22)/E22,"")</f>
        <v>0.123923127899271</v>
      </c>
      <c r="AQ22" s="8" t="str">
        <f aca="false">IF(COUNT(E22,G22)=2,(G22-E22)/E22,"")</f>
        <v/>
      </c>
    </row>
    <row r="23" customFormat="false" ht="15" hidden="false" customHeight="true" outlineLevel="0" collapsed="false">
      <c r="A23" s="9" t="s">
        <v>52</v>
      </c>
      <c r="B23" s="9" t="n">
        <v>107</v>
      </c>
      <c r="C23" s="9" t="s">
        <v>44</v>
      </c>
      <c r="D23" s="9" t="s">
        <v>55</v>
      </c>
      <c r="E23" s="10" t="n">
        <v>14.56</v>
      </c>
      <c r="F23" s="10" t="n">
        <v>14.2</v>
      </c>
      <c r="G23" s="9"/>
      <c r="H23" s="10" t="n">
        <v>16.16</v>
      </c>
      <c r="I23" s="11" t="n">
        <f aca="false">IF(COUNT(E23,F23)=2,F23-E23,"")</f>
        <v>-0.360000000000001</v>
      </c>
      <c r="J23" s="11" t="n">
        <f aca="false">IF(COUNT(E23,H23)=2,H23-E23,"")</f>
        <v>1.6</v>
      </c>
      <c r="K23" s="11" t="str">
        <f aca="false">IF(COUNT(F23,G23)=2,F23-G23,"")</f>
        <v/>
      </c>
      <c r="L23" s="12" t="n">
        <v>8</v>
      </c>
      <c r="M23" s="12" t="n">
        <v>9</v>
      </c>
      <c r="N23" s="12" t="n">
        <v>7</v>
      </c>
      <c r="O23" s="12" t="n">
        <v>1</v>
      </c>
      <c r="P23" s="12" t="n">
        <v>8</v>
      </c>
      <c r="Q23" s="12" t="n">
        <v>6</v>
      </c>
      <c r="R23" s="12" t="n">
        <v>7</v>
      </c>
      <c r="S23" s="12" t="n">
        <v>6</v>
      </c>
      <c r="T23" s="12" t="n">
        <v>7</v>
      </c>
      <c r="U23" s="12" t="n">
        <v>7</v>
      </c>
      <c r="V23" s="12" t="n">
        <v>8</v>
      </c>
      <c r="W23" s="12" t="n">
        <v>6</v>
      </c>
      <c r="X23" s="12" t="n">
        <v>6</v>
      </c>
      <c r="Y23" s="12" t="n">
        <v>7</v>
      </c>
      <c r="Z23" s="9" t="s">
        <v>46</v>
      </c>
      <c r="AA23" s="9" t="s">
        <v>56</v>
      </c>
      <c r="AB23" s="12" t="n">
        <v>7</v>
      </c>
      <c r="AC23" s="12" t="n">
        <v>7</v>
      </c>
      <c r="AD23" s="12" t="n">
        <v>2</v>
      </c>
      <c r="AE23" s="12" t="n">
        <v>5</v>
      </c>
      <c r="AF23" s="9"/>
      <c r="AG23" s="9"/>
      <c r="AH23" s="11" t="n">
        <f aca="false">IF(COUNT(L23,P23)=2,P23-L23,"")</f>
        <v>0</v>
      </c>
      <c r="AI23" s="11" t="n">
        <f aca="false">IF(COUNT(M23,Q23)=2,Q23-M23,"")</f>
        <v>-3</v>
      </c>
      <c r="AJ23" s="11" t="n">
        <f aca="false">IF(COUNT(N23,R23)=2,R23-N23,"")</f>
        <v>0</v>
      </c>
      <c r="AK23" s="11" t="n">
        <f aca="false">IF(COUNT(O23,S23)=2,S23-O23,"")</f>
        <v>5</v>
      </c>
      <c r="AL23" s="11" t="n">
        <f aca="false">IF(COUNT(AB23,AC23)=2,AC23-AB23,"")</f>
        <v>0</v>
      </c>
      <c r="AM23" s="11" t="n">
        <f aca="false">IF(COUNT(AD23,AE23)=2,AE23-AD23,"")</f>
        <v>3</v>
      </c>
      <c r="AN23" s="11" t="n">
        <f aca="false">IF(COUNT(F23,H23)=2,H23-F23,"")</f>
        <v>1.96</v>
      </c>
      <c r="AO23" s="8" t="n">
        <f aca="false">IF(COUNT(E23,F23)=2,(F23-E23)/E23,"")</f>
        <v>-0.0247252747252748</v>
      </c>
      <c r="AP23" s="8" t="n">
        <f aca="false">IF(COUNT(E23,H23)=2,(H23-E23)/E23,"")</f>
        <v>0.10989010989011</v>
      </c>
      <c r="AQ23" s="8" t="str">
        <f aca="false">IF(COUNT(E23,G23)=2,(G23-E23)/E23,"")</f>
        <v/>
      </c>
    </row>
    <row r="24" customFormat="false" ht="15" hidden="false" customHeight="true" outlineLevel="0" collapsed="false">
      <c r="A24" s="9" t="s">
        <v>52</v>
      </c>
      <c r="B24" s="9" t="n">
        <v>108</v>
      </c>
      <c r="C24" s="9" t="s">
        <v>48</v>
      </c>
      <c r="D24" s="9" t="s">
        <v>57</v>
      </c>
      <c r="E24" s="10" t="n">
        <v>16.4</v>
      </c>
      <c r="F24" s="10" t="n">
        <v>16.5</v>
      </c>
      <c r="G24" s="9"/>
      <c r="H24" s="10" t="n">
        <v>17.31</v>
      </c>
      <c r="I24" s="11" t="n">
        <f aca="false">IF(COUNT(E24,F24)=2,F24-E24,"")</f>
        <v>0.100000000000001</v>
      </c>
      <c r="J24" s="11" t="n">
        <f aca="false">IF(COUNT(E24,H24)=2,H24-E24,"")</f>
        <v>0.91</v>
      </c>
      <c r="K24" s="11" t="str">
        <f aca="false">IF(COUNT(F24,G24)=2,F24-G24,"")</f>
        <v/>
      </c>
      <c r="L24" s="12" t="n">
        <v>8</v>
      </c>
      <c r="M24" s="12" t="n">
        <v>8</v>
      </c>
      <c r="N24" s="12" t="n">
        <v>7</v>
      </c>
      <c r="O24" s="12" t="n">
        <v>2</v>
      </c>
      <c r="P24" s="12" t="n">
        <v>9</v>
      </c>
      <c r="Q24" s="12" t="n">
        <v>9</v>
      </c>
      <c r="R24" s="12" t="n">
        <v>9</v>
      </c>
      <c r="S24" s="12" t="n">
        <v>1</v>
      </c>
      <c r="T24" s="12" t="n">
        <v>9</v>
      </c>
      <c r="U24" s="12" t="n">
        <v>9</v>
      </c>
      <c r="V24" s="12" t="n">
        <v>9</v>
      </c>
      <c r="W24" s="12" t="n">
        <v>8</v>
      </c>
      <c r="X24" s="12" t="n">
        <v>2</v>
      </c>
      <c r="Y24" s="12" t="n">
        <v>9</v>
      </c>
      <c r="Z24" s="9" t="s">
        <v>46</v>
      </c>
      <c r="AA24" s="9" t="s">
        <v>47</v>
      </c>
      <c r="AB24" s="12" t="n">
        <v>8</v>
      </c>
      <c r="AC24" s="12" t="n">
        <v>9</v>
      </c>
      <c r="AD24" s="12" t="n">
        <v>8</v>
      </c>
      <c r="AE24" s="12" t="n">
        <v>8</v>
      </c>
      <c r="AF24" s="9"/>
      <c r="AG24" s="9"/>
      <c r="AH24" s="11" t="n">
        <f aca="false">IF(COUNT(L24,P24)=2,P24-L24,"")</f>
        <v>1</v>
      </c>
      <c r="AI24" s="11" t="n">
        <f aca="false">IF(COUNT(M24,Q24)=2,Q24-M24,"")</f>
        <v>1</v>
      </c>
      <c r="AJ24" s="11" t="n">
        <f aca="false">IF(COUNT(N24,R24)=2,R24-N24,"")</f>
        <v>2</v>
      </c>
      <c r="AK24" s="11" t="n">
        <f aca="false">IF(COUNT(O24,S24)=2,S24-O24,"")</f>
        <v>-1</v>
      </c>
      <c r="AL24" s="11" t="n">
        <f aca="false">IF(COUNT(AB24,AC24)=2,AC24-AB24,"")</f>
        <v>1</v>
      </c>
      <c r="AM24" s="11" t="n">
        <f aca="false">IF(COUNT(AD24,AE24)=2,AE24-AD24,"")</f>
        <v>0</v>
      </c>
      <c r="AN24" s="11" t="n">
        <f aca="false">IF(COUNT(F24,H24)=2,H24-F24,"")</f>
        <v>0.809999999999999</v>
      </c>
      <c r="AO24" s="8" t="n">
        <f aca="false">IF(COUNT(E24,F24)=2,(F24-E24)/E24,"")</f>
        <v>0.00609756097560984</v>
      </c>
      <c r="AP24" s="8" t="n">
        <f aca="false">IF(COUNT(E24,H24)=2,(H24-E24)/E24,"")</f>
        <v>0.0554878048780488</v>
      </c>
      <c r="AQ24" s="8" t="str">
        <f aca="false">IF(COUNT(E24,G24)=2,(G24-E24)/E24,"")</f>
        <v/>
      </c>
    </row>
    <row r="25" customFormat="false" ht="15" hidden="false" customHeight="true" outlineLevel="0" collapsed="false">
      <c r="A25" s="9" t="s">
        <v>52</v>
      </c>
      <c r="B25" s="9" t="n">
        <v>109</v>
      </c>
      <c r="C25" s="9" t="s">
        <v>48</v>
      </c>
      <c r="D25" s="9" t="s">
        <v>58</v>
      </c>
      <c r="E25" s="10" t="n">
        <v>14.16</v>
      </c>
      <c r="F25" s="10" t="n">
        <v>20.11</v>
      </c>
      <c r="G25" s="9"/>
      <c r="H25" s="10" t="n">
        <v>19.4</v>
      </c>
      <c r="I25" s="11" t="n">
        <f aca="false">IF(COUNT(E25,F25)=2,F25-E25,"")</f>
        <v>5.95</v>
      </c>
      <c r="J25" s="11" t="n">
        <f aca="false">IF(COUNT(E25,H25)=2,H25-E25,"")</f>
        <v>5.24</v>
      </c>
      <c r="K25" s="11" t="str">
        <f aca="false">IF(COUNT(F25,G25)=2,F25-G25,"")</f>
        <v/>
      </c>
      <c r="L25" s="12" t="n">
        <v>7</v>
      </c>
      <c r="M25" s="12" t="n">
        <v>9</v>
      </c>
      <c r="N25" s="12" t="n">
        <v>9</v>
      </c>
      <c r="O25" s="12" t="n">
        <v>1</v>
      </c>
      <c r="P25" s="12" t="n">
        <v>6</v>
      </c>
      <c r="Q25" s="12" t="n">
        <v>6</v>
      </c>
      <c r="R25" s="12" t="n">
        <v>7</v>
      </c>
      <c r="S25" s="12" t="n">
        <v>3</v>
      </c>
      <c r="T25" s="12" t="n">
        <v>6</v>
      </c>
      <c r="U25" s="12" t="n">
        <v>4</v>
      </c>
      <c r="V25" s="12" t="n">
        <v>3</v>
      </c>
      <c r="W25" s="12" t="n">
        <v>7</v>
      </c>
      <c r="X25" s="12" t="n">
        <v>6</v>
      </c>
      <c r="Y25" s="12" t="n">
        <v>4</v>
      </c>
      <c r="Z25" s="9" t="s">
        <v>46</v>
      </c>
      <c r="AA25" s="9" t="s">
        <v>47</v>
      </c>
      <c r="AB25" s="12" t="n">
        <v>6</v>
      </c>
      <c r="AC25" s="12" t="n">
        <v>3</v>
      </c>
      <c r="AD25" s="12" t="n">
        <v>3</v>
      </c>
      <c r="AE25" s="12" t="n">
        <v>5</v>
      </c>
      <c r="AF25" s="9"/>
      <c r="AG25" s="9"/>
      <c r="AH25" s="11" t="n">
        <f aca="false">IF(COUNT(L25,P25)=2,P25-L25,"")</f>
        <v>-1</v>
      </c>
      <c r="AI25" s="11" t="n">
        <f aca="false">IF(COUNT(M25,Q25)=2,Q25-M25,"")</f>
        <v>-3</v>
      </c>
      <c r="AJ25" s="11" t="n">
        <f aca="false">IF(COUNT(N25,R25)=2,R25-N25,"")</f>
        <v>-2</v>
      </c>
      <c r="AK25" s="11" t="n">
        <f aca="false">IF(COUNT(O25,S25)=2,S25-O25,"")</f>
        <v>2</v>
      </c>
      <c r="AL25" s="11" t="n">
        <f aca="false">IF(COUNT(AB25,AC25)=2,AC25-AB25,"")</f>
        <v>-3</v>
      </c>
      <c r="AM25" s="11" t="n">
        <f aca="false">IF(COUNT(AD25,AE25)=2,AE25-AD25,"")</f>
        <v>2</v>
      </c>
      <c r="AN25" s="11" t="n">
        <f aca="false">IF(COUNT(F25,H25)=2,H25-F25,"")</f>
        <v>-0.710000000000001</v>
      </c>
      <c r="AO25" s="8" t="n">
        <f aca="false">IF(COUNT(E25,F25)=2,(F25-E25)/E25,"")</f>
        <v>0.420197740112994</v>
      </c>
      <c r="AP25" s="8" t="n">
        <f aca="false">IF(COUNT(E25,H25)=2,(H25-E25)/E25,"")</f>
        <v>0.370056497175141</v>
      </c>
      <c r="AQ25" s="8" t="str">
        <f aca="false">IF(COUNT(E25,G25)=2,(G25-E25)/E25,"")</f>
        <v/>
      </c>
    </row>
    <row r="26" customFormat="false" ht="15" hidden="false" customHeight="true" outlineLevel="0" collapsed="false">
      <c r="A26" s="9" t="s">
        <v>52</v>
      </c>
      <c r="B26" s="9" t="n">
        <v>110</v>
      </c>
      <c r="C26" s="9" t="s">
        <v>48</v>
      </c>
      <c r="D26" s="9" t="s">
        <v>52</v>
      </c>
      <c r="E26" s="10" t="n">
        <v>15.31</v>
      </c>
      <c r="F26" s="10" t="n">
        <v>19.13</v>
      </c>
      <c r="G26" s="9"/>
      <c r="H26" s="10" t="n">
        <v>15.35</v>
      </c>
      <c r="I26" s="11" t="n">
        <f aca="false">IF(COUNT(E26,F26)=2,F26-E26,"")</f>
        <v>3.82</v>
      </c>
      <c r="J26" s="11" t="n">
        <f aca="false">IF(COUNT(E26,H26)=2,H26-E26,"")</f>
        <v>0.0399999999999992</v>
      </c>
      <c r="K26" s="11" t="str">
        <f aca="false">IF(COUNT(F26,G26)=2,F26-G26,"")</f>
        <v/>
      </c>
      <c r="L26" s="12" t="n">
        <v>9</v>
      </c>
      <c r="M26" s="12" t="n">
        <v>9</v>
      </c>
      <c r="N26" s="12" t="n">
        <v>9</v>
      </c>
      <c r="O26" s="12" t="n">
        <v>9</v>
      </c>
      <c r="P26" s="12" t="n">
        <v>9</v>
      </c>
      <c r="Q26" s="12" t="n">
        <v>9</v>
      </c>
      <c r="R26" s="12" t="n">
        <v>9</v>
      </c>
      <c r="S26" s="12" t="n">
        <v>1</v>
      </c>
      <c r="T26" s="12" t="n">
        <v>9</v>
      </c>
      <c r="U26" s="12" t="n">
        <v>9</v>
      </c>
      <c r="V26" s="12" t="n">
        <v>9</v>
      </c>
      <c r="W26" s="12" t="n">
        <v>9</v>
      </c>
      <c r="X26" s="12" t="n">
        <v>1</v>
      </c>
      <c r="Y26" s="12" t="n">
        <v>9</v>
      </c>
      <c r="Z26" s="9" t="s">
        <v>46</v>
      </c>
      <c r="AA26" s="9" t="s">
        <v>51</v>
      </c>
      <c r="AB26" s="12" t="n">
        <v>9</v>
      </c>
      <c r="AC26" s="12" t="n">
        <v>9</v>
      </c>
      <c r="AD26" s="12" t="n">
        <v>1</v>
      </c>
      <c r="AE26" s="12" t="n">
        <v>5</v>
      </c>
      <c r="AF26" s="9"/>
      <c r="AG26" s="9"/>
      <c r="AH26" s="11" t="n">
        <f aca="false">IF(COUNT(L26,P26)=2,P26-L26,"")</f>
        <v>0</v>
      </c>
      <c r="AI26" s="11" t="n">
        <f aca="false">IF(COUNT(M26,Q26)=2,Q26-M26,"")</f>
        <v>0</v>
      </c>
      <c r="AJ26" s="11" t="n">
        <f aca="false">IF(COUNT(N26,R26)=2,R26-N26,"")</f>
        <v>0</v>
      </c>
      <c r="AK26" s="11" t="n">
        <f aca="false">IF(COUNT(O26,S26)=2,S26-O26,"")</f>
        <v>-8</v>
      </c>
      <c r="AL26" s="11" t="n">
        <f aca="false">IF(COUNT(AB26,AC26)=2,AC26-AB26,"")</f>
        <v>0</v>
      </c>
      <c r="AM26" s="11" t="n">
        <f aca="false">IF(COUNT(AD26,AE26)=2,AE26-AD26,"")</f>
        <v>4</v>
      </c>
      <c r="AN26" s="11" t="n">
        <f aca="false">IF(COUNT(F26,H26)=2,H26-F26,"")</f>
        <v>-3.78</v>
      </c>
      <c r="AO26" s="8" t="n">
        <f aca="false">IF(COUNT(E26,F26)=2,(F26-E26)/E26,"")</f>
        <v>0.249510124101894</v>
      </c>
      <c r="AP26" s="8" t="n">
        <f aca="false">IF(COUNT(E26,H26)=2,(H26-E26)/E26,"")</f>
        <v>0.00261267145656428</v>
      </c>
      <c r="AQ26" s="8" t="str">
        <f aca="false">IF(COUNT(E26,G26)=2,(G26-E26)/E26,"")</f>
        <v/>
      </c>
    </row>
    <row r="27" customFormat="false" ht="15" hidden="false" customHeight="true" outlineLevel="0" collapsed="false">
      <c r="A27" s="9" t="s">
        <v>52</v>
      </c>
      <c r="B27" s="9" t="n">
        <v>111</v>
      </c>
      <c r="C27" s="9" t="s">
        <v>44</v>
      </c>
      <c r="D27" s="9" t="s">
        <v>57</v>
      </c>
      <c r="E27" s="10" t="n">
        <v>18.62</v>
      </c>
      <c r="F27" s="10" t="n">
        <v>18.16</v>
      </c>
      <c r="G27" s="9"/>
      <c r="H27" s="10" t="n">
        <v>18.4</v>
      </c>
      <c r="I27" s="11" t="n">
        <f aca="false">IF(COUNT(E27,F27)=2,F27-E27,"")</f>
        <v>-0.460000000000001</v>
      </c>
      <c r="J27" s="11" t="n">
        <f aca="false">IF(COUNT(E27,H27)=2,H27-E27,"")</f>
        <v>-0.220000000000002</v>
      </c>
      <c r="K27" s="11" t="str">
        <f aca="false">IF(COUNT(F27,G27)=2,F27-G27,"")</f>
        <v/>
      </c>
      <c r="L27" s="12" t="n">
        <v>9</v>
      </c>
      <c r="M27" s="12" t="n">
        <v>9</v>
      </c>
      <c r="N27" s="12" t="n">
        <v>7</v>
      </c>
      <c r="O27" s="12" t="n">
        <v>1</v>
      </c>
      <c r="P27" s="12" t="n">
        <v>9</v>
      </c>
      <c r="Q27" s="12" t="n">
        <v>9</v>
      </c>
      <c r="R27" s="12" t="n">
        <v>9</v>
      </c>
      <c r="S27" s="12" t="n">
        <v>8</v>
      </c>
      <c r="T27" s="12" t="n">
        <v>9</v>
      </c>
      <c r="U27" s="12" t="n">
        <v>9</v>
      </c>
      <c r="V27" s="12" t="n">
        <v>9</v>
      </c>
      <c r="W27" s="12" t="n">
        <v>8</v>
      </c>
      <c r="X27" s="12" t="n">
        <v>8</v>
      </c>
      <c r="Y27" s="12" t="n">
        <v>9</v>
      </c>
      <c r="Z27" s="9" t="s">
        <v>46</v>
      </c>
      <c r="AA27" s="9" t="s">
        <v>47</v>
      </c>
      <c r="AB27" s="12" t="n">
        <v>8</v>
      </c>
      <c r="AC27" s="12" t="n">
        <v>9</v>
      </c>
      <c r="AD27" s="12" t="n">
        <v>8</v>
      </c>
      <c r="AE27" s="12" t="n">
        <v>9</v>
      </c>
      <c r="AF27" s="9"/>
      <c r="AG27" s="9"/>
      <c r="AH27" s="11" t="n">
        <f aca="false">IF(COUNT(L27,P27)=2,P27-L27,"")</f>
        <v>0</v>
      </c>
      <c r="AI27" s="11" t="n">
        <f aca="false">IF(COUNT(M27,Q27)=2,Q27-M27,"")</f>
        <v>0</v>
      </c>
      <c r="AJ27" s="11" t="n">
        <f aca="false">IF(COUNT(N27,R27)=2,R27-N27,"")</f>
        <v>2</v>
      </c>
      <c r="AK27" s="11" t="n">
        <f aca="false">IF(COUNT(O27,S27)=2,S27-O27,"")</f>
        <v>7</v>
      </c>
      <c r="AL27" s="11" t="n">
        <f aca="false">IF(COUNT(AB27,AC27)=2,AC27-AB27,"")</f>
        <v>1</v>
      </c>
      <c r="AM27" s="11" t="n">
        <f aca="false">IF(COUNT(AD27,AE27)=2,AE27-AD27,"")</f>
        <v>1</v>
      </c>
      <c r="AN27" s="11" t="n">
        <f aca="false">IF(COUNT(F27,H27)=2,H27-F27,"")</f>
        <v>0.239999999999998</v>
      </c>
      <c r="AO27" s="8" t="n">
        <f aca="false">IF(COUNT(E27,F27)=2,(F27-E27)/E27,"")</f>
        <v>-0.0247046186895811</v>
      </c>
      <c r="AP27" s="8" t="n">
        <f aca="false">IF(COUNT(E27,H27)=2,(H27-E27)/E27,"")</f>
        <v>-0.0118152524167563</v>
      </c>
      <c r="AQ27" s="8" t="str">
        <f aca="false">IF(COUNT(E27,G27)=2,(G27-E27)/E27,"")</f>
        <v/>
      </c>
    </row>
    <row r="28" customFormat="false" ht="15" hidden="false" customHeight="true" outlineLevel="0" collapsed="false">
      <c r="A28" s="9" t="s">
        <v>52</v>
      </c>
      <c r="B28" s="9" t="n">
        <v>112</v>
      </c>
      <c r="C28" s="9" t="s">
        <v>44</v>
      </c>
      <c r="D28" s="9" t="s">
        <v>53</v>
      </c>
      <c r="E28" s="10" t="n">
        <v>16.37</v>
      </c>
      <c r="F28" s="10" t="n">
        <v>18.31</v>
      </c>
      <c r="G28" s="9"/>
      <c r="H28" s="10" t="n">
        <v>18.44</v>
      </c>
      <c r="I28" s="11" t="n">
        <f aca="false">IF(COUNT(E28,F28)=2,F28-E28,"")</f>
        <v>1.94</v>
      </c>
      <c r="J28" s="11" t="n">
        <f aca="false">IF(COUNT(E28,H28)=2,H28-E28,"")</f>
        <v>2.07</v>
      </c>
      <c r="K28" s="11" t="str">
        <f aca="false">IF(COUNT(F28,G28)=2,F28-G28,"")</f>
        <v/>
      </c>
      <c r="L28" s="12" t="n">
        <v>8</v>
      </c>
      <c r="M28" s="12" t="n">
        <v>9</v>
      </c>
      <c r="N28" s="12" t="n">
        <v>8</v>
      </c>
      <c r="O28" s="12" t="n">
        <v>2</v>
      </c>
      <c r="P28" s="12" t="n">
        <v>5</v>
      </c>
      <c r="Q28" s="12" t="n">
        <v>3</v>
      </c>
      <c r="R28" s="12" t="n">
        <v>4</v>
      </c>
      <c r="S28" s="12" t="n">
        <v>7</v>
      </c>
      <c r="T28" s="12" t="n">
        <v>5</v>
      </c>
      <c r="U28" s="12" t="n">
        <v>8</v>
      </c>
      <c r="V28" s="12" t="n">
        <v>7</v>
      </c>
      <c r="W28" s="12" t="n">
        <v>7</v>
      </c>
      <c r="X28" s="12" t="n">
        <v>7</v>
      </c>
      <c r="Y28" s="12" t="n">
        <v>8</v>
      </c>
      <c r="Z28" s="9" t="s">
        <v>54</v>
      </c>
      <c r="AA28" s="9" t="s">
        <v>47</v>
      </c>
      <c r="AB28" s="12" t="n">
        <v>3</v>
      </c>
      <c r="AC28" s="12" t="n">
        <v>8</v>
      </c>
      <c r="AD28" s="12" t="n">
        <v>1</v>
      </c>
      <c r="AE28" s="12" t="n">
        <v>8</v>
      </c>
      <c r="AF28" s="9"/>
      <c r="AG28" s="9"/>
      <c r="AH28" s="11" t="n">
        <f aca="false">IF(COUNT(L28,P28)=2,P28-L28,"")</f>
        <v>-3</v>
      </c>
      <c r="AI28" s="11" t="n">
        <f aca="false">IF(COUNT(M28,Q28)=2,Q28-M28,"")</f>
        <v>-6</v>
      </c>
      <c r="AJ28" s="11" t="n">
        <f aca="false">IF(COUNT(N28,R28)=2,R28-N28,"")</f>
        <v>-4</v>
      </c>
      <c r="AK28" s="11" t="n">
        <f aca="false">IF(COUNT(O28,S28)=2,S28-O28,"")</f>
        <v>5</v>
      </c>
      <c r="AL28" s="11" t="n">
        <f aca="false">IF(COUNT(AB28,AC28)=2,AC28-AB28,"")</f>
        <v>5</v>
      </c>
      <c r="AM28" s="11" t="n">
        <f aca="false">IF(COUNT(AD28,AE28)=2,AE28-AD28,"")</f>
        <v>7</v>
      </c>
      <c r="AN28" s="11" t="n">
        <f aca="false">IF(COUNT(F28,H28)=2,H28-F28,"")</f>
        <v>0.130000000000003</v>
      </c>
      <c r="AO28" s="8" t="n">
        <f aca="false">IF(COUNT(E28,F28)=2,(F28-E28)/E28,"")</f>
        <v>0.118509468540012</v>
      </c>
      <c r="AP28" s="8" t="n">
        <f aca="false">IF(COUNT(E28,H28)=2,(H28-E28)/E28,"")</f>
        <v>0.126450824679291</v>
      </c>
      <c r="AQ28" s="8" t="str">
        <f aca="false">IF(COUNT(E28,G28)=2,(G28-E28)/E28,"")</f>
        <v/>
      </c>
    </row>
    <row r="29" customFormat="false" ht="15" hidden="false" customHeight="true" outlineLevel="0" collapsed="false">
      <c r="A29" s="9" t="s">
        <v>52</v>
      </c>
      <c r="B29" s="9" t="n">
        <v>113</v>
      </c>
      <c r="C29" s="9" t="s">
        <v>48</v>
      </c>
      <c r="D29" s="9" t="s">
        <v>55</v>
      </c>
      <c r="E29" s="10" t="n">
        <v>20.34</v>
      </c>
      <c r="F29" s="10" t="n">
        <v>20.22</v>
      </c>
      <c r="G29" s="9"/>
      <c r="H29" s="10" t="n">
        <v>26.68</v>
      </c>
      <c r="I29" s="11" t="n">
        <f aca="false">IF(COUNT(E29,F29)=2,F29-E29,"")</f>
        <v>-0.120000000000001</v>
      </c>
      <c r="J29" s="11" t="n">
        <f aca="false">IF(COUNT(E29,H29)=2,H29-E29,"")</f>
        <v>6.34</v>
      </c>
      <c r="K29" s="11" t="str">
        <f aca="false">IF(COUNT(F29,G29)=2,F29-G29,"")</f>
        <v/>
      </c>
      <c r="L29" s="12" t="n">
        <v>8</v>
      </c>
      <c r="M29" s="12" t="n">
        <v>7</v>
      </c>
      <c r="N29" s="12" t="n">
        <v>8</v>
      </c>
      <c r="O29" s="12" t="n">
        <v>1</v>
      </c>
      <c r="P29" s="12" t="n">
        <v>8</v>
      </c>
      <c r="Q29" s="12" t="n">
        <v>6</v>
      </c>
      <c r="R29" s="12" t="n">
        <v>8</v>
      </c>
      <c r="S29" s="12" t="n">
        <v>1</v>
      </c>
      <c r="T29" s="12" t="n">
        <v>7</v>
      </c>
      <c r="U29" s="12" t="n">
        <v>8</v>
      </c>
      <c r="V29" s="12" t="n">
        <v>6</v>
      </c>
      <c r="W29" s="12" t="n">
        <v>7</v>
      </c>
      <c r="X29" s="12" t="n">
        <v>3</v>
      </c>
      <c r="Y29" s="12" t="n">
        <v>3</v>
      </c>
      <c r="Z29" s="9" t="s">
        <v>54</v>
      </c>
      <c r="AA29" s="9" t="s">
        <v>47</v>
      </c>
      <c r="AB29" s="12" t="n">
        <v>3</v>
      </c>
      <c r="AC29" s="12" t="n">
        <v>6</v>
      </c>
      <c r="AD29" s="12" t="n">
        <v>2</v>
      </c>
      <c r="AE29" s="12" t="n">
        <v>6</v>
      </c>
      <c r="AF29" s="9"/>
      <c r="AG29" s="9"/>
      <c r="AH29" s="11" t="n">
        <f aca="false">IF(COUNT(L29,P29)=2,P29-L29,"")</f>
        <v>0</v>
      </c>
      <c r="AI29" s="11" t="n">
        <f aca="false">IF(COUNT(M29,Q29)=2,Q29-M29,"")</f>
        <v>-1</v>
      </c>
      <c r="AJ29" s="11" t="n">
        <f aca="false">IF(COUNT(N29,R29)=2,R29-N29,"")</f>
        <v>0</v>
      </c>
      <c r="AK29" s="11" t="n">
        <f aca="false">IF(COUNT(O29,S29)=2,S29-O29,"")</f>
        <v>0</v>
      </c>
      <c r="AL29" s="11" t="n">
        <f aca="false">IF(COUNT(AB29,AC29)=2,AC29-AB29,"")</f>
        <v>3</v>
      </c>
      <c r="AM29" s="11" t="n">
        <f aca="false">IF(COUNT(AD29,AE29)=2,AE29-AD29,"")</f>
        <v>4</v>
      </c>
      <c r="AN29" s="11" t="n">
        <f aca="false">IF(COUNT(F29,H29)=2,H29-F29,"")</f>
        <v>6.46</v>
      </c>
      <c r="AO29" s="8" t="n">
        <f aca="false">IF(COUNT(E29,F29)=2,(F29-E29)/E29,"")</f>
        <v>-0.00589970501474931</v>
      </c>
      <c r="AP29" s="8" t="n">
        <f aca="false">IF(COUNT(E29,H29)=2,(H29-E29)/E29,"")</f>
        <v>0.311701081612586</v>
      </c>
      <c r="AQ29" s="8" t="str">
        <f aca="false">IF(COUNT(E29,G29)=2,(G29-E29)/E29,"")</f>
        <v/>
      </c>
    </row>
    <row r="30" customFormat="false" ht="15" hidden="false" customHeight="true" outlineLevel="0" collapsed="false">
      <c r="A30" s="9" t="s">
        <v>52</v>
      </c>
      <c r="B30" s="9" t="n">
        <v>114</v>
      </c>
      <c r="C30" s="9" t="s">
        <v>44</v>
      </c>
      <c r="D30" s="9" t="s">
        <v>53</v>
      </c>
      <c r="E30" s="10" t="n">
        <v>15.5</v>
      </c>
      <c r="F30" s="10" t="n">
        <v>16.9</v>
      </c>
      <c r="G30" s="9"/>
      <c r="H30" s="10" t="n">
        <v>19.5</v>
      </c>
      <c r="I30" s="11" t="n">
        <f aca="false">IF(COUNT(E30,F30)=2,F30-E30,"")</f>
        <v>1.4</v>
      </c>
      <c r="J30" s="11" t="n">
        <f aca="false">IF(COUNT(E30,H30)=2,H30-E30,"")</f>
        <v>4</v>
      </c>
      <c r="K30" s="11" t="str">
        <f aca="false">IF(COUNT(F30,G30)=2,F30-G30,"")</f>
        <v/>
      </c>
      <c r="L30" s="12" t="n">
        <v>9</v>
      </c>
      <c r="M30" s="12" t="n">
        <v>9</v>
      </c>
      <c r="N30" s="12" t="n">
        <v>9</v>
      </c>
      <c r="O30" s="12" t="n">
        <v>2</v>
      </c>
      <c r="P30" s="12" t="n">
        <v>9</v>
      </c>
      <c r="Q30" s="12" t="n">
        <v>7</v>
      </c>
      <c r="R30" s="12" t="n">
        <v>7</v>
      </c>
      <c r="S30" s="12" t="n">
        <v>3</v>
      </c>
      <c r="T30" s="12" t="n">
        <v>5</v>
      </c>
      <c r="U30" s="12" t="n">
        <v>5</v>
      </c>
      <c r="V30" s="12" t="n">
        <v>7</v>
      </c>
      <c r="W30" s="12" t="n">
        <v>4</v>
      </c>
      <c r="X30" s="12" t="n">
        <v>7</v>
      </c>
      <c r="Y30" s="12" t="n">
        <v>6</v>
      </c>
      <c r="Z30" s="9" t="s">
        <v>54</v>
      </c>
      <c r="AA30" s="9" t="s">
        <v>59</v>
      </c>
      <c r="AB30" s="12" t="n">
        <v>6</v>
      </c>
      <c r="AC30" s="12" t="n">
        <v>5</v>
      </c>
      <c r="AD30" s="12" t="n">
        <v>7</v>
      </c>
      <c r="AE30" s="12" t="n">
        <v>6</v>
      </c>
      <c r="AF30" s="9"/>
      <c r="AG30" s="9"/>
      <c r="AH30" s="11" t="n">
        <f aca="false">IF(COUNT(L30,P30)=2,P30-L30,"")</f>
        <v>0</v>
      </c>
      <c r="AI30" s="11" t="n">
        <f aca="false">IF(COUNT(M30,Q30)=2,Q30-M30,"")</f>
        <v>-2</v>
      </c>
      <c r="AJ30" s="11" t="n">
        <f aca="false">IF(COUNT(N30,R30)=2,R30-N30,"")</f>
        <v>-2</v>
      </c>
      <c r="AK30" s="11" t="n">
        <f aca="false">IF(COUNT(O30,S30)=2,S30-O30,"")</f>
        <v>1</v>
      </c>
      <c r="AL30" s="11" t="n">
        <f aca="false">IF(COUNT(AB30,AC30)=2,AC30-AB30,"")</f>
        <v>-1</v>
      </c>
      <c r="AM30" s="11" t="n">
        <f aca="false">IF(COUNT(AD30,AE30)=2,AE30-AD30,"")</f>
        <v>-1</v>
      </c>
      <c r="AN30" s="11" t="n">
        <f aca="false">IF(COUNT(F30,H30)=2,H30-F30,"")</f>
        <v>2.6</v>
      </c>
      <c r="AO30" s="8" t="n">
        <f aca="false">IF(COUNT(E30,F30)=2,(F30-E30)/E30,"")</f>
        <v>0.0903225806451612</v>
      </c>
      <c r="AP30" s="8" t="n">
        <f aca="false">IF(COUNT(E30,H30)=2,(H30-E30)/E30,"")</f>
        <v>0.258064516129032</v>
      </c>
      <c r="AQ30" s="8" t="str">
        <f aca="false">IF(COUNT(E30,G30)=2,(G30-E30)/E30,"")</f>
        <v/>
      </c>
    </row>
    <row r="31" customFormat="false" ht="15" hidden="false" customHeight="true" outlineLevel="0" collapsed="false">
      <c r="A31" s="9" t="s">
        <v>52</v>
      </c>
      <c r="B31" s="9" t="n">
        <v>115</v>
      </c>
      <c r="C31" s="9" t="s">
        <v>44</v>
      </c>
      <c r="D31" s="9" t="s">
        <v>53</v>
      </c>
      <c r="E31" s="10" t="n">
        <v>16.56</v>
      </c>
      <c r="F31" s="10" t="n">
        <v>17.28</v>
      </c>
      <c r="G31" s="9"/>
      <c r="H31" s="10" t="n">
        <v>21.75</v>
      </c>
      <c r="I31" s="11" t="n">
        <f aca="false">IF(COUNT(E31,F31)=2,F31-E31,"")</f>
        <v>0.720000000000002</v>
      </c>
      <c r="J31" s="11" t="n">
        <f aca="false">IF(COUNT(E31,H31)=2,H31-E31,"")</f>
        <v>5.19</v>
      </c>
      <c r="K31" s="11" t="str">
        <f aca="false">IF(COUNT(F31,G31)=2,F31-G31,"")</f>
        <v/>
      </c>
      <c r="L31" s="12" t="n">
        <v>9</v>
      </c>
      <c r="M31" s="12" t="n">
        <v>9</v>
      </c>
      <c r="N31" s="12" t="n">
        <v>9</v>
      </c>
      <c r="O31" s="12" t="n">
        <v>1</v>
      </c>
      <c r="P31" s="12" t="n">
        <v>8</v>
      </c>
      <c r="Q31" s="12" t="n">
        <v>7</v>
      </c>
      <c r="R31" s="12" t="n">
        <v>9</v>
      </c>
      <c r="S31" s="12" t="n">
        <v>1</v>
      </c>
      <c r="T31" s="12" t="n">
        <v>5</v>
      </c>
      <c r="U31" s="12" t="n">
        <v>8</v>
      </c>
      <c r="V31" s="12" t="n">
        <v>8</v>
      </c>
      <c r="W31" s="12" t="n">
        <v>8</v>
      </c>
      <c r="X31" s="12" t="n">
        <v>5</v>
      </c>
      <c r="Y31" s="12" t="n">
        <v>7</v>
      </c>
      <c r="Z31" s="9" t="s">
        <v>54</v>
      </c>
      <c r="AA31" s="9" t="s">
        <v>47</v>
      </c>
      <c r="AB31" s="12" t="n">
        <v>7</v>
      </c>
      <c r="AC31" s="12" t="n">
        <v>8</v>
      </c>
      <c r="AD31" s="12" t="n">
        <v>9</v>
      </c>
      <c r="AE31" s="12" t="n">
        <v>8</v>
      </c>
      <c r="AF31" s="9"/>
      <c r="AG31" s="9"/>
      <c r="AH31" s="11" t="n">
        <f aca="false">IF(COUNT(L31,P31)=2,P31-L31,"")</f>
        <v>-1</v>
      </c>
      <c r="AI31" s="11" t="n">
        <f aca="false">IF(COUNT(M31,Q31)=2,Q31-M31,"")</f>
        <v>-2</v>
      </c>
      <c r="AJ31" s="11" t="n">
        <f aca="false">IF(COUNT(N31,R31)=2,R31-N31,"")</f>
        <v>0</v>
      </c>
      <c r="AK31" s="11" t="n">
        <f aca="false">IF(COUNT(O31,S31)=2,S31-O31,"")</f>
        <v>0</v>
      </c>
      <c r="AL31" s="11" t="n">
        <f aca="false">IF(COUNT(AB31,AC31)=2,AC31-AB31,"")</f>
        <v>1</v>
      </c>
      <c r="AM31" s="11" t="n">
        <f aca="false">IF(COUNT(AD31,AE31)=2,AE31-AD31,"")</f>
        <v>-1</v>
      </c>
      <c r="AN31" s="11" t="n">
        <f aca="false">IF(COUNT(F31,H31)=2,H31-F31,"")</f>
        <v>4.47</v>
      </c>
      <c r="AO31" s="8" t="n">
        <f aca="false">IF(COUNT(E31,F31)=2,(F31-E31)/E31,"")</f>
        <v>0.0434782608695654</v>
      </c>
      <c r="AP31" s="8" t="n">
        <f aca="false">IF(COUNT(E31,H31)=2,(H31-E31)/E31,"")</f>
        <v>0.313405797101449</v>
      </c>
      <c r="AQ31" s="8" t="str">
        <f aca="false">IF(COUNT(E31,G31)=2,(G31-E31)/E31,"")</f>
        <v/>
      </c>
    </row>
    <row r="32" customFormat="false" ht="15" hidden="false" customHeight="true" outlineLevel="0" collapsed="false">
      <c r="A32" s="9" t="s">
        <v>52</v>
      </c>
      <c r="B32" s="9" t="n">
        <v>116</v>
      </c>
      <c r="C32" s="9" t="s">
        <v>48</v>
      </c>
      <c r="D32" s="9" t="s">
        <v>52</v>
      </c>
      <c r="E32" s="10" t="n">
        <v>18.81</v>
      </c>
      <c r="F32" s="10" t="n">
        <v>20.5</v>
      </c>
      <c r="G32" s="9"/>
      <c r="H32" s="10" t="n">
        <v>19.15</v>
      </c>
      <c r="I32" s="11" t="n">
        <f aca="false">IF(COUNT(E32,F32)=2,F32-E32,"")</f>
        <v>1.69</v>
      </c>
      <c r="J32" s="11" t="n">
        <f aca="false">IF(COUNT(E32,H32)=2,H32-E32,"")</f>
        <v>0.34</v>
      </c>
      <c r="K32" s="11" t="str">
        <f aca="false">IF(COUNT(F32,G32)=2,F32-G32,"")</f>
        <v/>
      </c>
      <c r="L32" s="12" t="n">
        <v>5</v>
      </c>
      <c r="M32" s="12" t="n">
        <v>9</v>
      </c>
      <c r="N32" s="12" t="n">
        <v>5</v>
      </c>
      <c r="O32" s="12" t="n">
        <v>2</v>
      </c>
      <c r="P32" s="12" t="n">
        <v>5</v>
      </c>
      <c r="Q32" s="12" t="n">
        <v>9</v>
      </c>
      <c r="R32" s="12" t="n">
        <v>5</v>
      </c>
      <c r="S32" s="12" t="n">
        <v>2</v>
      </c>
      <c r="T32" s="12" t="n">
        <v>8</v>
      </c>
      <c r="U32" s="12" t="n">
        <v>7</v>
      </c>
      <c r="V32" s="12" t="n">
        <v>9</v>
      </c>
      <c r="W32" s="12" t="n">
        <v>7</v>
      </c>
      <c r="X32" s="12" t="n">
        <v>2</v>
      </c>
      <c r="Y32" s="12" t="n">
        <v>9</v>
      </c>
      <c r="Z32" s="9" t="s">
        <v>46</v>
      </c>
      <c r="AA32" s="9" t="s">
        <v>47</v>
      </c>
      <c r="AB32" s="12" t="n">
        <v>8</v>
      </c>
      <c r="AC32" s="12" t="n">
        <v>9</v>
      </c>
      <c r="AD32" s="12" t="n">
        <v>3</v>
      </c>
      <c r="AE32" s="12" t="n">
        <v>5</v>
      </c>
      <c r="AF32" s="9"/>
      <c r="AG32" s="9"/>
      <c r="AH32" s="11" t="n">
        <f aca="false">IF(COUNT(L32,P32)=2,P32-L32,"")</f>
        <v>0</v>
      </c>
      <c r="AI32" s="11" t="n">
        <f aca="false">IF(COUNT(M32,Q32)=2,Q32-M32,"")</f>
        <v>0</v>
      </c>
      <c r="AJ32" s="11" t="n">
        <f aca="false">IF(COUNT(N32,R32)=2,R32-N32,"")</f>
        <v>0</v>
      </c>
      <c r="AK32" s="11" t="n">
        <f aca="false">IF(COUNT(O32,S32)=2,S32-O32,"")</f>
        <v>0</v>
      </c>
      <c r="AL32" s="11" t="n">
        <f aca="false">IF(COUNT(AB32,AC32)=2,AC32-AB32,"")</f>
        <v>1</v>
      </c>
      <c r="AM32" s="11" t="n">
        <f aca="false">IF(COUNT(AD32,AE32)=2,AE32-AD32,"")</f>
        <v>2</v>
      </c>
      <c r="AN32" s="11" t="n">
        <f aca="false">IF(COUNT(F32,H32)=2,H32-F32,"")</f>
        <v>-1.35</v>
      </c>
      <c r="AO32" s="8" t="n">
        <f aca="false">IF(COUNT(E32,F32)=2,(F32-E32)/E32,"")</f>
        <v>0.089845826687932</v>
      </c>
      <c r="AP32" s="8" t="n">
        <f aca="false">IF(COUNT(E32,H32)=2,(H32-E32)/E32,"")</f>
        <v>0.0180754917597023</v>
      </c>
      <c r="AQ32" s="8" t="str">
        <f aca="false">IF(COUNT(E32,G32)=2,(G32-E32)/E32,"")</f>
        <v/>
      </c>
    </row>
    <row r="33" customFormat="false" ht="15" hidden="false" customHeight="true" outlineLevel="0" collapsed="false">
      <c r="A33" s="9" t="s">
        <v>52</v>
      </c>
      <c r="B33" s="9" t="n">
        <v>117</v>
      </c>
      <c r="C33" s="9" t="s">
        <v>44</v>
      </c>
      <c r="D33" s="9" t="s">
        <v>60</v>
      </c>
      <c r="E33" s="10" t="n">
        <v>16.78</v>
      </c>
      <c r="F33" s="10" t="n">
        <v>16.44</v>
      </c>
      <c r="G33" s="9"/>
      <c r="H33" s="10" t="n">
        <v>17.1</v>
      </c>
      <c r="I33" s="11" t="n">
        <f aca="false">IF(COUNT(E33,F33)=2,F33-E33,"")</f>
        <v>-0.34</v>
      </c>
      <c r="J33" s="11" t="n">
        <f aca="false">IF(COUNT(E33,H33)=2,H33-E33,"")</f>
        <v>0.32</v>
      </c>
      <c r="K33" s="11" t="str">
        <f aca="false">IF(COUNT(F33,G33)=2,F33-G33,"")</f>
        <v/>
      </c>
      <c r="L33" s="12" t="n">
        <v>8</v>
      </c>
      <c r="M33" s="12" t="n">
        <v>8</v>
      </c>
      <c r="N33" s="12" t="n">
        <v>8</v>
      </c>
      <c r="O33" s="12" t="n">
        <v>1</v>
      </c>
      <c r="P33" s="12" t="n">
        <v>8</v>
      </c>
      <c r="Q33" s="12" t="n">
        <v>8</v>
      </c>
      <c r="R33" s="12" t="n">
        <v>8</v>
      </c>
      <c r="S33" s="12" t="n">
        <v>2</v>
      </c>
      <c r="T33" s="12" t="n">
        <v>8</v>
      </c>
      <c r="U33" s="12" t="n">
        <v>7</v>
      </c>
      <c r="V33" s="12" t="n">
        <v>6</v>
      </c>
      <c r="W33" s="12" t="n">
        <v>6</v>
      </c>
      <c r="X33" s="12" t="n">
        <v>3</v>
      </c>
      <c r="Y33" s="12" t="n">
        <v>7</v>
      </c>
      <c r="Z33" s="9" t="s">
        <v>46</v>
      </c>
      <c r="AA33" s="9" t="s">
        <v>56</v>
      </c>
      <c r="AB33" s="12" t="n">
        <v>8</v>
      </c>
      <c r="AC33" s="12" t="n">
        <v>6</v>
      </c>
      <c r="AD33" s="12" t="n">
        <v>6</v>
      </c>
      <c r="AE33" s="12" t="n">
        <v>6</v>
      </c>
      <c r="AF33" s="9"/>
      <c r="AG33" s="9"/>
      <c r="AH33" s="11" t="n">
        <f aca="false">IF(COUNT(L33,P33)=2,P33-L33,"")</f>
        <v>0</v>
      </c>
      <c r="AI33" s="11" t="n">
        <f aca="false">IF(COUNT(M33,Q33)=2,Q33-M33,"")</f>
        <v>0</v>
      </c>
      <c r="AJ33" s="11" t="n">
        <f aca="false">IF(COUNT(N33,R33)=2,R33-N33,"")</f>
        <v>0</v>
      </c>
      <c r="AK33" s="11" t="n">
        <f aca="false">IF(COUNT(O33,S33)=2,S33-O33,"")</f>
        <v>1</v>
      </c>
      <c r="AL33" s="11" t="n">
        <f aca="false">IF(COUNT(AB33,AC33)=2,AC33-AB33,"")</f>
        <v>-2</v>
      </c>
      <c r="AM33" s="11" t="n">
        <f aca="false">IF(COUNT(AD33,AE33)=2,AE33-AD33,"")</f>
        <v>0</v>
      </c>
      <c r="AN33" s="11" t="n">
        <f aca="false">IF(COUNT(F33,H33)=2,H33-F33,"")</f>
        <v>0.66</v>
      </c>
      <c r="AO33" s="8" t="n">
        <f aca="false">IF(COUNT(E33,F33)=2,(F33-E33)/E33,"")</f>
        <v>-0.0202622169249106</v>
      </c>
      <c r="AP33" s="8" t="n">
        <f aca="false">IF(COUNT(E33,H33)=2,(H33-E33)/E33,"")</f>
        <v>0.0190703218116806</v>
      </c>
      <c r="AQ33" s="8" t="str">
        <f aca="false">IF(COUNT(E33,G33)=2,(G33-E33)/E33,"")</f>
        <v/>
      </c>
    </row>
    <row r="34" customFormat="false" ht="15" hidden="false" customHeight="true" outlineLevel="0" collapsed="false">
      <c r="A34" s="9" t="s">
        <v>52</v>
      </c>
      <c r="B34" s="9" t="n">
        <v>118</v>
      </c>
      <c r="C34" s="9" t="s">
        <v>48</v>
      </c>
      <c r="D34" s="9" t="s">
        <v>55</v>
      </c>
      <c r="E34" s="10" t="n">
        <v>16.35</v>
      </c>
      <c r="F34" s="10" t="n">
        <v>20.06</v>
      </c>
      <c r="G34" s="9"/>
      <c r="H34" s="10" t="n">
        <v>21.78</v>
      </c>
      <c r="I34" s="11" t="n">
        <f aca="false">IF(COUNT(E34,F34)=2,F34-E34,"")</f>
        <v>3.71</v>
      </c>
      <c r="J34" s="11" t="n">
        <f aca="false">IF(COUNT(E34,H34)=2,H34-E34,"")</f>
        <v>5.43</v>
      </c>
      <c r="K34" s="11" t="str">
        <f aca="false">IF(COUNT(F34,G34)=2,F34-G34,"")</f>
        <v/>
      </c>
      <c r="L34" s="12" t="n">
        <v>9</v>
      </c>
      <c r="M34" s="12" t="n">
        <v>9</v>
      </c>
      <c r="N34" s="12" t="n">
        <v>9</v>
      </c>
      <c r="O34" s="12" t="n">
        <v>1</v>
      </c>
      <c r="P34" s="12" t="n">
        <v>8</v>
      </c>
      <c r="Q34" s="12" t="n">
        <v>6</v>
      </c>
      <c r="R34" s="12" t="n">
        <v>7</v>
      </c>
      <c r="S34" s="12" t="n">
        <v>4</v>
      </c>
      <c r="T34" s="12" t="n">
        <v>5</v>
      </c>
      <c r="U34" s="12" t="n">
        <v>7</v>
      </c>
      <c r="V34" s="12" t="n">
        <v>8</v>
      </c>
      <c r="W34" s="12" t="n">
        <v>8</v>
      </c>
      <c r="X34" s="12" t="n">
        <v>8</v>
      </c>
      <c r="Y34" s="12" t="n">
        <v>9</v>
      </c>
      <c r="Z34" s="9" t="s">
        <v>46</v>
      </c>
      <c r="AA34" s="9" t="s">
        <v>47</v>
      </c>
      <c r="AB34" s="12" t="n">
        <v>5</v>
      </c>
      <c r="AC34" s="12" t="n">
        <v>8</v>
      </c>
      <c r="AD34" s="12" t="n">
        <v>5</v>
      </c>
      <c r="AE34" s="12" t="n">
        <v>8</v>
      </c>
      <c r="AF34" s="9"/>
      <c r="AG34" s="9"/>
      <c r="AH34" s="11" t="n">
        <f aca="false">IF(COUNT(L34,P34)=2,P34-L34,"")</f>
        <v>-1</v>
      </c>
      <c r="AI34" s="11" t="n">
        <f aca="false">IF(COUNT(M34,Q34)=2,Q34-M34,"")</f>
        <v>-3</v>
      </c>
      <c r="AJ34" s="11" t="n">
        <f aca="false">IF(COUNT(N34,R34)=2,R34-N34,"")</f>
        <v>-2</v>
      </c>
      <c r="AK34" s="11" t="n">
        <f aca="false">IF(COUNT(O34,S34)=2,S34-O34,"")</f>
        <v>3</v>
      </c>
      <c r="AL34" s="11" t="n">
        <f aca="false">IF(COUNT(AB34,AC34)=2,AC34-AB34,"")</f>
        <v>3</v>
      </c>
      <c r="AM34" s="11" t="n">
        <f aca="false">IF(COUNT(AD34,AE34)=2,AE34-AD34,"")</f>
        <v>3</v>
      </c>
      <c r="AN34" s="11" t="n">
        <f aca="false">IF(COUNT(F34,H34)=2,H34-F34,"")</f>
        <v>1.72</v>
      </c>
      <c r="AO34" s="8" t="n">
        <f aca="false">IF(COUNT(E34,F34)=2,(F34-E34)/E34,"")</f>
        <v>0.226911314984709</v>
      </c>
      <c r="AP34" s="8" t="n">
        <f aca="false">IF(COUNT(E34,H34)=2,(H34-E34)/E34,"")</f>
        <v>0.332110091743119</v>
      </c>
      <c r="AQ34" s="8" t="str">
        <f aca="false">IF(COUNT(E34,G34)=2,(G34-E34)/E34,"")</f>
        <v/>
      </c>
    </row>
    <row r="35" customFormat="false" ht="15" hidden="false" customHeight="true" outlineLevel="0" collapsed="false">
      <c r="A35" s="9" t="s">
        <v>52</v>
      </c>
      <c r="B35" s="9" t="n">
        <v>119</v>
      </c>
      <c r="C35" s="9" t="s">
        <v>48</v>
      </c>
      <c r="D35" s="9" t="s">
        <v>58</v>
      </c>
      <c r="E35" s="10" t="n">
        <v>19.12</v>
      </c>
      <c r="F35" s="10" t="n">
        <v>20.34</v>
      </c>
      <c r="G35" s="9"/>
      <c r="H35" s="10" t="n">
        <v>22.94</v>
      </c>
      <c r="I35" s="11" t="n">
        <f aca="false">IF(COUNT(E35,F35)=2,F35-E35,"")</f>
        <v>1.22</v>
      </c>
      <c r="J35" s="11" t="n">
        <f aca="false">IF(COUNT(E35,H35)=2,H35-E35,"")</f>
        <v>3.82</v>
      </c>
      <c r="K35" s="11" t="str">
        <f aca="false">IF(COUNT(F35,G35)=2,F35-G35,"")</f>
        <v/>
      </c>
      <c r="L35" s="12" t="n">
        <v>7</v>
      </c>
      <c r="M35" s="12" t="n">
        <v>9</v>
      </c>
      <c r="N35" s="12" t="n">
        <v>8</v>
      </c>
      <c r="O35" s="12" t="n">
        <v>1</v>
      </c>
      <c r="P35" s="12" t="n">
        <v>6</v>
      </c>
      <c r="Q35" s="12" t="n">
        <v>8</v>
      </c>
      <c r="R35" s="12" t="n">
        <v>6</v>
      </c>
      <c r="S35" s="12" t="n">
        <v>1</v>
      </c>
      <c r="T35" s="12" t="n">
        <v>9</v>
      </c>
      <c r="U35" s="12" t="n">
        <v>7</v>
      </c>
      <c r="V35" s="12" t="n">
        <v>6</v>
      </c>
      <c r="W35" s="12" t="n">
        <v>5</v>
      </c>
      <c r="X35" s="12" t="n">
        <v>8</v>
      </c>
      <c r="Y35" s="12" t="n">
        <v>9</v>
      </c>
      <c r="Z35" s="9" t="s">
        <v>54</v>
      </c>
      <c r="AA35" s="9" t="s">
        <v>47</v>
      </c>
      <c r="AB35" s="12" t="n">
        <v>8</v>
      </c>
      <c r="AC35" s="12" t="n">
        <v>8</v>
      </c>
      <c r="AD35" s="12" t="n">
        <v>3</v>
      </c>
      <c r="AE35" s="12" t="n">
        <v>7</v>
      </c>
      <c r="AF35" s="9"/>
      <c r="AG35" s="9"/>
      <c r="AH35" s="11" t="n">
        <f aca="false">IF(COUNT(L35,P35)=2,P35-L35,"")</f>
        <v>-1</v>
      </c>
      <c r="AI35" s="11" t="n">
        <f aca="false">IF(COUNT(M35,Q35)=2,Q35-M35,"")</f>
        <v>-1</v>
      </c>
      <c r="AJ35" s="11" t="n">
        <f aca="false">IF(COUNT(N35,R35)=2,R35-N35,"")</f>
        <v>-2</v>
      </c>
      <c r="AK35" s="11" t="n">
        <f aca="false">IF(COUNT(O35,S35)=2,S35-O35,"")</f>
        <v>0</v>
      </c>
      <c r="AL35" s="11" t="n">
        <f aca="false">IF(COUNT(AB35,AC35)=2,AC35-AB35,"")</f>
        <v>0</v>
      </c>
      <c r="AM35" s="11" t="n">
        <f aca="false">IF(COUNT(AD35,AE35)=2,AE35-AD35,"")</f>
        <v>4</v>
      </c>
      <c r="AN35" s="11" t="n">
        <f aca="false">IF(COUNT(F35,H35)=2,H35-F35,"")</f>
        <v>2.6</v>
      </c>
      <c r="AO35" s="8" t="n">
        <f aca="false">IF(COUNT(E35,F35)=2,(F35-E35)/E35,"")</f>
        <v>0.0638075313807531</v>
      </c>
      <c r="AP35" s="8" t="n">
        <f aca="false">IF(COUNT(E35,H35)=2,(H35-E35)/E35,"")</f>
        <v>0.19979079497908</v>
      </c>
      <c r="AQ35" s="8" t="str">
        <f aca="false">IF(COUNT(E35,G35)=2,(G35-E35)/E35,"")</f>
        <v/>
      </c>
    </row>
    <row r="36" customFormat="false" ht="15" hidden="false" customHeight="true" outlineLevel="0" collapsed="false">
      <c r="A36" s="9" t="s">
        <v>52</v>
      </c>
      <c r="B36" s="9" t="n">
        <v>120</v>
      </c>
      <c r="C36" s="9" t="s">
        <v>44</v>
      </c>
      <c r="D36" s="9" t="s">
        <v>52</v>
      </c>
      <c r="E36" s="10" t="n">
        <v>16.01</v>
      </c>
      <c r="F36" s="10" t="n">
        <v>16.28</v>
      </c>
      <c r="G36" s="9"/>
      <c r="H36" s="10" t="n">
        <v>17.78</v>
      </c>
      <c r="I36" s="11" t="n">
        <f aca="false">IF(COUNT(E36,F36)=2,F36-E36,"")</f>
        <v>0.27</v>
      </c>
      <c r="J36" s="11" t="n">
        <f aca="false">IF(COUNT(E36,H36)=2,H36-E36,"")</f>
        <v>1.77</v>
      </c>
      <c r="K36" s="11" t="str">
        <f aca="false">IF(COUNT(F36,G36)=2,F36-G36,"")</f>
        <v/>
      </c>
      <c r="L36" s="12" t="n">
        <v>8</v>
      </c>
      <c r="M36" s="12" t="n">
        <v>9</v>
      </c>
      <c r="N36" s="12" t="n">
        <v>8</v>
      </c>
      <c r="O36" s="12" t="n">
        <v>2</v>
      </c>
      <c r="P36" s="12" t="n">
        <v>6</v>
      </c>
      <c r="Q36" s="12" t="n">
        <v>8</v>
      </c>
      <c r="R36" s="12" t="n">
        <v>8</v>
      </c>
      <c r="S36" s="12" t="n">
        <v>2</v>
      </c>
      <c r="T36" s="12" t="n">
        <v>8</v>
      </c>
      <c r="U36" s="12" t="n">
        <v>6</v>
      </c>
      <c r="V36" s="12" t="n">
        <v>7</v>
      </c>
      <c r="W36" s="12" t="n">
        <v>6</v>
      </c>
      <c r="X36" s="12" t="n">
        <v>7</v>
      </c>
      <c r="Y36" s="12" t="n">
        <v>8</v>
      </c>
      <c r="Z36" s="9" t="s">
        <v>54</v>
      </c>
      <c r="AA36" s="9" t="s">
        <v>47</v>
      </c>
      <c r="AB36" s="12" t="n">
        <v>9</v>
      </c>
      <c r="AC36" s="12" t="n">
        <v>8</v>
      </c>
      <c r="AD36" s="12" t="n">
        <v>8</v>
      </c>
      <c r="AE36" s="12" t="n">
        <v>7</v>
      </c>
      <c r="AF36" s="9"/>
      <c r="AG36" s="9"/>
      <c r="AH36" s="11" t="n">
        <f aca="false">IF(COUNT(L36,P36)=2,P36-L36,"")</f>
        <v>-2</v>
      </c>
      <c r="AI36" s="11" t="n">
        <f aca="false">IF(COUNT(M36,Q36)=2,Q36-M36,"")</f>
        <v>-1</v>
      </c>
      <c r="AJ36" s="11" t="n">
        <f aca="false">IF(COUNT(N36,R36)=2,R36-N36,"")</f>
        <v>0</v>
      </c>
      <c r="AK36" s="11" t="n">
        <f aca="false">IF(COUNT(O36,S36)=2,S36-O36,"")</f>
        <v>0</v>
      </c>
      <c r="AL36" s="11" t="n">
        <f aca="false">IF(COUNT(AB36,AC36)=2,AC36-AB36,"")</f>
        <v>-1</v>
      </c>
      <c r="AM36" s="11" t="n">
        <f aca="false">IF(COUNT(AD36,AE36)=2,AE36-AD36,"")</f>
        <v>-1</v>
      </c>
      <c r="AN36" s="11" t="n">
        <f aca="false">IF(COUNT(F36,H36)=2,H36-F36,"")</f>
        <v>1.5</v>
      </c>
      <c r="AO36" s="8" t="n">
        <f aca="false">IF(COUNT(E36,F36)=2,(F36-E36)/E36,"")</f>
        <v>0.0168644597126795</v>
      </c>
      <c r="AP36" s="8" t="n">
        <f aca="false">IF(COUNT(E36,H36)=2,(H36-E36)/E36,"")</f>
        <v>0.110555902560899</v>
      </c>
      <c r="AQ36" s="8" t="str">
        <f aca="false">IF(COUNT(E36,G36)=2,(G36-E36)/E36,"")</f>
        <v/>
      </c>
    </row>
    <row r="37" customFormat="false" ht="15" hidden="false" customHeight="true" outlineLevel="0" collapsed="false">
      <c r="A37" s="9" t="s">
        <v>52</v>
      </c>
      <c r="B37" s="9" t="n">
        <v>121</v>
      </c>
      <c r="C37" s="9" t="s">
        <v>48</v>
      </c>
      <c r="D37" s="9" t="s">
        <v>52</v>
      </c>
      <c r="E37" s="10" t="n">
        <v>14.9</v>
      </c>
      <c r="F37" s="10" t="n">
        <v>17.69</v>
      </c>
      <c r="G37" s="9"/>
      <c r="H37" s="10" t="n">
        <v>16.66</v>
      </c>
      <c r="I37" s="11" t="n">
        <f aca="false">IF(COUNT(E37,F37)=2,F37-E37,"")</f>
        <v>2.79</v>
      </c>
      <c r="J37" s="11" t="n">
        <f aca="false">IF(COUNT(E37,H37)=2,H37-E37,"")</f>
        <v>1.76</v>
      </c>
      <c r="K37" s="11" t="str">
        <f aca="false">IF(COUNT(F37,G37)=2,F37-G37,"")</f>
        <v/>
      </c>
      <c r="L37" s="12" t="n">
        <v>8</v>
      </c>
      <c r="M37" s="12" t="n">
        <v>8</v>
      </c>
      <c r="N37" s="12" t="n">
        <v>8</v>
      </c>
      <c r="O37" s="12" t="n">
        <v>1</v>
      </c>
      <c r="P37" s="12" t="n">
        <v>8</v>
      </c>
      <c r="Q37" s="12" t="n">
        <v>7</v>
      </c>
      <c r="R37" s="12" t="n">
        <v>8</v>
      </c>
      <c r="S37" s="12" t="n">
        <v>1</v>
      </c>
      <c r="T37" s="12" t="n">
        <v>6</v>
      </c>
      <c r="U37" s="12" t="n">
        <v>8</v>
      </c>
      <c r="V37" s="12" t="n">
        <v>8</v>
      </c>
      <c r="W37" s="12" t="n">
        <v>8</v>
      </c>
      <c r="X37" s="12" t="n">
        <v>1</v>
      </c>
      <c r="Y37" s="12" t="n">
        <v>8</v>
      </c>
      <c r="Z37" s="9" t="s">
        <v>54</v>
      </c>
      <c r="AA37" s="9" t="s">
        <v>47</v>
      </c>
      <c r="AB37" s="12" t="n">
        <v>6</v>
      </c>
      <c r="AC37" s="12" t="n">
        <v>8</v>
      </c>
      <c r="AD37" s="12" t="n">
        <v>5</v>
      </c>
      <c r="AE37" s="12" t="n">
        <v>7</v>
      </c>
      <c r="AF37" s="9"/>
      <c r="AG37" s="9"/>
      <c r="AH37" s="11" t="n">
        <f aca="false">IF(COUNT(L37,P37)=2,P37-L37,"")</f>
        <v>0</v>
      </c>
      <c r="AI37" s="11" t="n">
        <f aca="false">IF(COUNT(M37,Q37)=2,Q37-M37,"")</f>
        <v>-1</v>
      </c>
      <c r="AJ37" s="11" t="n">
        <f aca="false">IF(COUNT(N37,R37)=2,R37-N37,"")</f>
        <v>0</v>
      </c>
      <c r="AK37" s="11" t="n">
        <f aca="false">IF(COUNT(O37,S37)=2,S37-O37,"")</f>
        <v>0</v>
      </c>
      <c r="AL37" s="11" t="n">
        <f aca="false">IF(COUNT(AB37,AC37)=2,AC37-AB37,"")</f>
        <v>2</v>
      </c>
      <c r="AM37" s="11" t="n">
        <f aca="false">IF(COUNT(AD37,AE37)=2,AE37-AD37,"")</f>
        <v>2</v>
      </c>
      <c r="AN37" s="11" t="n">
        <f aca="false">IF(COUNT(F37,H37)=2,H37-F37,"")</f>
        <v>-1.03</v>
      </c>
      <c r="AO37" s="8" t="n">
        <f aca="false">IF(COUNT(E37,F37)=2,(F37-E37)/E37,"")</f>
        <v>0.187248322147651</v>
      </c>
      <c r="AP37" s="8" t="n">
        <f aca="false">IF(COUNT(E37,H37)=2,(H37-E37)/E37,"")</f>
        <v>0.118120805369128</v>
      </c>
      <c r="AQ37" s="8" t="str">
        <f aca="false">IF(COUNT(E37,G37)=2,(G37-E37)/E37,"")</f>
        <v/>
      </c>
    </row>
    <row r="38" customFormat="false" ht="15" hidden="false" customHeight="true" outlineLevel="0" collapsed="false">
      <c r="A38" s="9" t="s">
        <v>52</v>
      </c>
      <c r="B38" s="9" t="n">
        <v>122</v>
      </c>
      <c r="C38" s="9" t="s">
        <v>48</v>
      </c>
      <c r="D38" s="9" t="s">
        <v>57</v>
      </c>
      <c r="E38" s="10" t="n">
        <v>13.28</v>
      </c>
      <c r="F38" s="10" t="n">
        <v>13.94</v>
      </c>
      <c r="G38" s="9"/>
      <c r="H38" s="10" t="n">
        <v>14.56</v>
      </c>
      <c r="I38" s="11" t="n">
        <f aca="false">IF(COUNT(E38,F38)=2,F38-E38,"")</f>
        <v>0.66</v>
      </c>
      <c r="J38" s="11" t="n">
        <f aca="false">IF(COUNT(E38,H38)=2,H38-E38,"")</f>
        <v>1.28</v>
      </c>
      <c r="K38" s="11" t="str">
        <f aca="false">IF(COUNT(F38,G38)=2,F38-G38,"")</f>
        <v/>
      </c>
      <c r="L38" s="12" t="n">
        <v>9</v>
      </c>
      <c r="M38" s="12" t="n">
        <v>9</v>
      </c>
      <c r="N38" s="12" t="n">
        <v>9</v>
      </c>
      <c r="O38" s="12" t="n">
        <v>1</v>
      </c>
      <c r="P38" s="12" t="n">
        <v>9</v>
      </c>
      <c r="Q38" s="12" t="n">
        <v>9</v>
      </c>
      <c r="R38" s="12" t="n">
        <v>9</v>
      </c>
      <c r="S38" s="12" t="n">
        <v>1</v>
      </c>
      <c r="T38" s="12" t="n">
        <v>9</v>
      </c>
      <c r="U38" s="12" t="n">
        <v>8</v>
      </c>
      <c r="V38" s="12" t="n">
        <v>9</v>
      </c>
      <c r="W38" s="12" t="n">
        <v>9</v>
      </c>
      <c r="X38" s="12" t="n">
        <v>8</v>
      </c>
      <c r="Y38" s="12" t="n">
        <v>7</v>
      </c>
      <c r="Z38" s="9" t="s">
        <v>46</v>
      </c>
      <c r="AA38" s="9" t="s">
        <v>56</v>
      </c>
      <c r="AB38" s="12" t="n">
        <v>9</v>
      </c>
      <c r="AC38" s="12" t="n">
        <v>9</v>
      </c>
      <c r="AD38" s="12" t="n">
        <v>8</v>
      </c>
      <c r="AE38" s="12" t="n">
        <v>8</v>
      </c>
      <c r="AF38" s="12" t="n">
        <v>8</v>
      </c>
      <c r="AG38" s="12" t="n">
        <v>5</v>
      </c>
      <c r="AH38" s="11" t="n">
        <f aca="false">IF(COUNT(L38,P38)=2,P38-L38,"")</f>
        <v>0</v>
      </c>
      <c r="AI38" s="11" t="n">
        <f aca="false">IF(COUNT(M38,Q38)=2,Q38-M38,"")</f>
        <v>0</v>
      </c>
      <c r="AJ38" s="11" t="n">
        <f aca="false">IF(COUNT(N38,R38)=2,R38-N38,"")</f>
        <v>0</v>
      </c>
      <c r="AK38" s="11" t="n">
        <f aca="false">IF(COUNT(O38,S38)=2,S38-O38,"")</f>
        <v>0</v>
      </c>
      <c r="AL38" s="11" t="n">
        <f aca="false">IF(COUNT(AB38,AC38)=2,AC38-AB38,"")</f>
        <v>0</v>
      </c>
      <c r="AM38" s="11" t="n">
        <f aca="false">IF(COUNT(AD38,AE38)=2,AE38-AD38,"")</f>
        <v>0</v>
      </c>
      <c r="AN38" s="11" t="n">
        <f aca="false">IF(COUNT(F38,H38)=2,H38-F38,"")</f>
        <v>0.620000000000001</v>
      </c>
      <c r="AO38" s="8" t="n">
        <f aca="false">IF(COUNT(E38,F38)=2,(F38-E38)/E38,"")</f>
        <v>0.0496987951807229</v>
      </c>
      <c r="AP38" s="8" t="n">
        <f aca="false">IF(COUNT(E38,H38)=2,(H38-E38)/E38,"")</f>
        <v>0.0963855421686748</v>
      </c>
      <c r="AQ38" s="8" t="str">
        <f aca="false">IF(COUNT(E38,G38)=2,(G38-E38)/E38,"")</f>
        <v/>
      </c>
    </row>
    <row r="39" customFormat="false" ht="15" hidden="false" customHeight="true" outlineLevel="0" collapsed="false">
      <c r="A39" s="9" t="s">
        <v>52</v>
      </c>
      <c r="B39" s="9" t="n">
        <v>123</v>
      </c>
      <c r="C39" s="9" t="s">
        <v>44</v>
      </c>
      <c r="D39" s="9" t="s">
        <v>57</v>
      </c>
      <c r="E39" s="10" t="n">
        <v>14.06</v>
      </c>
      <c r="F39" s="10" t="n">
        <v>13.87</v>
      </c>
      <c r="G39" s="9"/>
      <c r="H39" s="10" t="n">
        <v>15.9</v>
      </c>
      <c r="I39" s="11" t="n">
        <f aca="false">IF(COUNT(E39,F39)=2,F39-E39,"")</f>
        <v>-0.190000000000001</v>
      </c>
      <c r="J39" s="11" t="n">
        <f aca="false">IF(COUNT(E39,H39)=2,H39-E39,"")</f>
        <v>1.84</v>
      </c>
      <c r="K39" s="11" t="str">
        <f aca="false">IF(COUNT(F39,G39)=2,F39-G39,"")</f>
        <v/>
      </c>
      <c r="L39" s="12" t="n">
        <v>6</v>
      </c>
      <c r="M39" s="12" t="n">
        <v>6</v>
      </c>
      <c r="N39" s="12" t="n">
        <v>9</v>
      </c>
      <c r="O39" s="12" t="n">
        <v>1</v>
      </c>
      <c r="P39" s="12" t="n">
        <v>6</v>
      </c>
      <c r="Q39" s="12" t="n">
        <v>6</v>
      </c>
      <c r="R39" s="12" t="n">
        <v>6</v>
      </c>
      <c r="S39" s="12" t="n">
        <v>6</v>
      </c>
      <c r="T39" s="12" t="n">
        <v>1</v>
      </c>
      <c r="U39" s="12" t="n">
        <v>3</v>
      </c>
      <c r="V39" s="12" t="n">
        <v>3</v>
      </c>
      <c r="W39" s="12" t="n">
        <v>9</v>
      </c>
      <c r="X39" s="12" t="n">
        <v>1</v>
      </c>
      <c r="Y39" s="12" t="n">
        <v>1</v>
      </c>
      <c r="Z39" s="9" t="s">
        <v>54</v>
      </c>
      <c r="AA39" s="9" t="s">
        <v>51</v>
      </c>
      <c r="AB39" s="12" t="n">
        <v>4</v>
      </c>
      <c r="AC39" s="12" t="n">
        <v>4</v>
      </c>
      <c r="AD39" s="12" t="n">
        <v>3</v>
      </c>
      <c r="AE39" s="12" t="n">
        <v>3</v>
      </c>
      <c r="AF39" s="12" t="n">
        <v>1</v>
      </c>
      <c r="AG39" s="12" t="n">
        <v>1</v>
      </c>
      <c r="AH39" s="11" t="n">
        <f aca="false">IF(COUNT(L39,P39)=2,P39-L39,"")</f>
        <v>0</v>
      </c>
      <c r="AI39" s="11" t="n">
        <f aca="false">IF(COUNT(M39,Q39)=2,Q39-M39,"")</f>
        <v>0</v>
      </c>
      <c r="AJ39" s="11" t="n">
        <f aca="false">IF(COUNT(N39,R39)=2,R39-N39,"")</f>
        <v>-3</v>
      </c>
      <c r="AK39" s="11" t="n">
        <f aca="false">IF(COUNT(O39,S39)=2,S39-O39,"")</f>
        <v>5</v>
      </c>
      <c r="AL39" s="11" t="n">
        <f aca="false">IF(COUNT(AB39,AC39)=2,AC39-AB39,"")</f>
        <v>0</v>
      </c>
      <c r="AM39" s="11" t="n">
        <f aca="false">IF(COUNT(AD39,AE39)=2,AE39-AD39,"")</f>
        <v>0</v>
      </c>
      <c r="AN39" s="11" t="n">
        <f aca="false">IF(COUNT(F39,H39)=2,H39-F39,"")</f>
        <v>2.03</v>
      </c>
      <c r="AO39" s="8" t="n">
        <f aca="false">IF(COUNT(E39,F39)=2,(F39-E39)/E39,"")</f>
        <v>-0.0135135135135136</v>
      </c>
      <c r="AP39" s="8" t="n">
        <f aca="false">IF(COUNT(E39,H39)=2,(H39-E39)/E39,"")</f>
        <v>0.130867709815078</v>
      </c>
      <c r="AQ39" s="8" t="str">
        <f aca="false">IF(COUNT(E39,G39)=2,(G39-E39)/E39,"")</f>
        <v/>
      </c>
    </row>
    <row r="40" customFormat="false" ht="15" hidden="false" customHeight="true" outlineLevel="0" collapsed="false">
      <c r="A40" s="9" t="s">
        <v>52</v>
      </c>
      <c r="B40" s="9" t="n">
        <v>124</v>
      </c>
      <c r="C40" s="9" t="s">
        <v>44</v>
      </c>
      <c r="D40" s="9" t="s">
        <v>53</v>
      </c>
      <c r="E40" s="10" t="n">
        <v>15.26</v>
      </c>
      <c r="F40" s="10" t="n">
        <v>21.15</v>
      </c>
      <c r="G40" s="9"/>
      <c r="H40" s="10" t="n">
        <v>18.78</v>
      </c>
      <c r="I40" s="11" t="n">
        <f aca="false">IF(COUNT(E40,F40)=2,F40-E40,"")</f>
        <v>5.89</v>
      </c>
      <c r="J40" s="11" t="n">
        <f aca="false">IF(COUNT(E40,H40)=2,H40-E40,"")</f>
        <v>3.52</v>
      </c>
      <c r="K40" s="11" t="str">
        <f aca="false">IF(COUNT(F40,G40)=2,F40-G40,"")</f>
        <v/>
      </c>
      <c r="L40" s="12" t="n">
        <v>9</v>
      </c>
      <c r="M40" s="12" t="n">
        <v>9</v>
      </c>
      <c r="N40" s="12" t="n">
        <v>9</v>
      </c>
      <c r="O40" s="12" t="n">
        <v>2</v>
      </c>
      <c r="P40" s="12" t="n">
        <v>3</v>
      </c>
      <c r="Q40" s="12" t="n">
        <v>8</v>
      </c>
      <c r="R40" s="12" t="n">
        <v>3</v>
      </c>
      <c r="S40" s="12" t="n">
        <v>8</v>
      </c>
      <c r="T40" s="12" t="n">
        <v>6</v>
      </c>
      <c r="U40" s="12" t="n">
        <v>7</v>
      </c>
      <c r="V40" s="12" t="n">
        <v>6</v>
      </c>
      <c r="W40" s="12" t="n">
        <v>7</v>
      </c>
      <c r="X40" s="12" t="n">
        <v>4</v>
      </c>
      <c r="Y40" s="12" t="n">
        <v>4</v>
      </c>
      <c r="Z40" s="9" t="s">
        <v>54</v>
      </c>
      <c r="AA40" s="9" t="s">
        <v>51</v>
      </c>
      <c r="AB40" s="12" t="n">
        <v>4</v>
      </c>
      <c r="AC40" s="12" t="n">
        <v>6</v>
      </c>
      <c r="AD40" s="12" t="n">
        <v>4</v>
      </c>
      <c r="AE40" s="12" t="n">
        <v>7</v>
      </c>
      <c r="AF40" s="12" t="n">
        <v>2</v>
      </c>
      <c r="AG40" s="12" t="n">
        <v>2</v>
      </c>
      <c r="AH40" s="11" t="n">
        <f aca="false">IF(COUNT(L40,P40)=2,P40-L40,"")</f>
        <v>-6</v>
      </c>
      <c r="AI40" s="11" t="n">
        <f aca="false">IF(COUNT(M40,Q40)=2,Q40-M40,"")</f>
        <v>-1</v>
      </c>
      <c r="AJ40" s="11" t="n">
        <f aca="false">IF(COUNT(N40,R40)=2,R40-N40,"")</f>
        <v>-6</v>
      </c>
      <c r="AK40" s="11" t="n">
        <f aca="false">IF(COUNT(O40,S40)=2,S40-O40,"")</f>
        <v>6</v>
      </c>
      <c r="AL40" s="11" t="n">
        <f aca="false">IF(COUNT(AB40,AC40)=2,AC40-AB40,"")</f>
        <v>2</v>
      </c>
      <c r="AM40" s="11" t="n">
        <f aca="false">IF(COUNT(AD40,AE40)=2,AE40-AD40,"")</f>
        <v>3</v>
      </c>
      <c r="AN40" s="11" t="n">
        <f aca="false">IF(COUNT(F40,H40)=2,H40-F40,"")</f>
        <v>-2.37</v>
      </c>
      <c r="AO40" s="8" t="n">
        <f aca="false">IF(COUNT(E40,F40)=2,(F40-E40)/E40,"")</f>
        <v>0.385976408912189</v>
      </c>
      <c r="AP40" s="8" t="n">
        <f aca="false">IF(COUNT(E40,H40)=2,(H40-E40)/E40,"")</f>
        <v>0.230668414154653</v>
      </c>
      <c r="AQ40" s="8" t="str">
        <f aca="false">IF(COUNT(E40,G40)=2,(G40-E40)/E40,"")</f>
        <v/>
      </c>
    </row>
    <row r="41" customFormat="false" ht="15" hidden="false" customHeight="true" outlineLevel="0" collapsed="false">
      <c r="A41" s="9" t="s">
        <v>52</v>
      </c>
      <c r="B41" s="9" t="n">
        <v>125</v>
      </c>
      <c r="C41" s="9" t="s">
        <v>48</v>
      </c>
      <c r="D41" s="9" t="s">
        <v>58</v>
      </c>
      <c r="E41" s="10" t="n">
        <v>11.66</v>
      </c>
      <c r="F41" s="10" t="n">
        <v>14.04</v>
      </c>
      <c r="G41" s="9"/>
      <c r="H41" s="10" t="n">
        <v>13.22</v>
      </c>
      <c r="I41" s="11" t="n">
        <f aca="false">IF(COUNT(E41,F41)=2,F41-E41,"")</f>
        <v>2.38</v>
      </c>
      <c r="J41" s="11" t="n">
        <f aca="false">IF(COUNT(E41,H41)=2,H41-E41,"")</f>
        <v>1.56</v>
      </c>
      <c r="K41" s="11" t="str">
        <f aca="false">IF(COUNT(F41,G41)=2,F41-G41,"")</f>
        <v/>
      </c>
      <c r="L41" s="12" t="n">
        <v>9</v>
      </c>
      <c r="M41" s="12" t="n">
        <v>9</v>
      </c>
      <c r="N41" s="12" t="n">
        <v>8</v>
      </c>
      <c r="O41" s="12" t="n">
        <v>1</v>
      </c>
      <c r="P41" s="12" t="n">
        <v>9</v>
      </c>
      <c r="Q41" s="12" t="n">
        <v>9</v>
      </c>
      <c r="R41" s="12" t="n">
        <v>8</v>
      </c>
      <c r="S41" s="12" t="n">
        <v>2</v>
      </c>
      <c r="T41" s="12" t="n">
        <v>8</v>
      </c>
      <c r="U41" s="12" t="n">
        <v>7</v>
      </c>
      <c r="V41" s="12" t="n">
        <v>8</v>
      </c>
      <c r="W41" s="12" t="n">
        <v>7</v>
      </c>
      <c r="X41" s="12" t="n">
        <v>5</v>
      </c>
      <c r="Y41" s="12" t="n">
        <v>7</v>
      </c>
      <c r="Z41" s="9" t="s">
        <v>46</v>
      </c>
      <c r="AA41" s="9" t="s">
        <v>47</v>
      </c>
      <c r="AB41" s="12" t="n">
        <v>9</v>
      </c>
      <c r="AC41" s="12" t="n">
        <v>7</v>
      </c>
      <c r="AD41" s="12" t="n">
        <v>9</v>
      </c>
      <c r="AE41" s="12" t="n">
        <v>7</v>
      </c>
      <c r="AF41" s="12" t="n">
        <v>8</v>
      </c>
      <c r="AG41" s="12" t="n">
        <v>6</v>
      </c>
      <c r="AH41" s="11" t="n">
        <f aca="false">IF(COUNT(L41,P41)=2,P41-L41,"")</f>
        <v>0</v>
      </c>
      <c r="AI41" s="11" t="n">
        <f aca="false">IF(COUNT(M41,Q41)=2,Q41-M41,"")</f>
        <v>0</v>
      </c>
      <c r="AJ41" s="11" t="n">
        <f aca="false">IF(COUNT(N41,R41)=2,R41-N41,"")</f>
        <v>0</v>
      </c>
      <c r="AK41" s="11" t="n">
        <f aca="false">IF(COUNT(O41,S41)=2,S41-O41,"")</f>
        <v>1</v>
      </c>
      <c r="AL41" s="11" t="n">
        <f aca="false">IF(COUNT(AB41,AC41)=2,AC41-AB41,"")</f>
        <v>-2</v>
      </c>
      <c r="AM41" s="11" t="n">
        <f aca="false">IF(COUNT(AD41,AE41)=2,AE41-AD41,"")</f>
        <v>-2</v>
      </c>
      <c r="AN41" s="11" t="n">
        <f aca="false">IF(COUNT(F41,H41)=2,H41-F41,"")</f>
        <v>-0.819999999999999</v>
      </c>
      <c r="AO41" s="8" t="n">
        <f aca="false">IF(COUNT(E41,F41)=2,(F41-E41)/E41,"")</f>
        <v>0.204116638078902</v>
      </c>
      <c r="AP41" s="8" t="n">
        <f aca="false">IF(COUNT(E41,H41)=2,(H41-E41)/E41,"")</f>
        <v>0.133790737564323</v>
      </c>
      <c r="AQ41" s="8" t="str">
        <f aca="false">IF(COUNT(E41,G41)=2,(G41-E41)/E41,"")</f>
        <v/>
      </c>
    </row>
    <row r="42" customFormat="false" ht="15" hidden="false" customHeight="true" outlineLevel="0" collapsed="false">
      <c r="A42" s="9" t="s">
        <v>52</v>
      </c>
      <c r="B42" s="9" t="n">
        <v>126</v>
      </c>
      <c r="C42" s="9" t="s">
        <v>44</v>
      </c>
      <c r="D42" s="9" t="s">
        <v>55</v>
      </c>
      <c r="E42" s="10" t="n">
        <v>14.63</v>
      </c>
      <c r="F42" s="10" t="n">
        <v>13.63</v>
      </c>
      <c r="G42" s="9"/>
      <c r="H42" s="10" t="n">
        <v>16.24</v>
      </c>
      <c r="I42" s="11" t="n">
        <f aca="false">IF(COUNT(E42,F42)=2,F42-E42,"")</f>
        <v>-1</v>
      </c>
      <c r="J42" s="11" t="n">
        <f aca="false">IF(COUNT(E42,H42)=2,H42-E42,"")</f>
        <v>1.61</v>
      </c>
      <c r="K42" s="11" t="str">
        <f aca="false">IF(COUNT(F42,G42)=2,F42-G42,"")</f>
        <v/>
      </c>
      <c r="L42" s="12" t="n">
        <v>9</v>
      </c>
      <c r="M42" s="12" t="n">
        <v>9</v>
      </c>
      <c r="N42" s="12" t="n">
        <v>9</v>
      </c>
      <c r="O42" s="12" t="n">
        <v>1</v>
      </c>
      <c r="P42" s="12" t="n">
        <v>8</v>
      </c>
      <c r="Q42" s="12" t="n">
        <v>5</v>
      </c>
      <c r="R42" s="12" t="n">
        <v>6</v>
      </c>
      <c r="S42" s="12" t="n">
        <v>4</v>
      </c>
      <c r="T42" s="12" t="n">
        <v>6</v>
      </c>
      <c r="U42" s="12" t="n">
        <v>6</v>
      </c>
      <c r="V42" s="12" t="n">
        <v>6</v>
      </c>
      <c r="W42" s="12" t="n">
        <v>6.5</v>
      </c>
      <c r="X42" s="12" t="n">
        <v>7</v>
      </c>
      <c r="Y42" s="12" t="n">
        <v>6</v>
      </c>
      <c r="Z42" s="9" t="s">
        <v>54</v>
      </c>
      <c r="AA42" s="9" t="s">
        <v>47</v>
      </c>
      <c r="AB42" s="12" t="n">
        <v>4</v>
      </c>
      <c r="AC42" s="12" t="n">
        <v>7</v>
      </c>
      <c r="AD42" s="12" t="n">
        <v>3</v>
      </c>
      <c r="AE42" s="12" t="n">
        <v>7</v>
      </c>
      <c r="AF42" s="12" t="n">
        <v>7</v>
      </c>
      <c r="AG42" s="12" t="n">
        <v>2</v>
      </c>
      <c r="AH42" s="11" t="n">
        <f aca="false">IF(COUNT(L42,P42)=2,P42-L42,"")</f>
        <v>-1</v>
      </c>
      <c r="AI42" s="11" t="n">
        <f aca="false">IF(COUNT(M42,Q42)=2,Q42-M42,"")</f>
        <v>-4</v>
      </c>
      <c r="AJ42" s="11" t="n">
        <f aca="false">IF(COUNT(N42,R42)=2,R42-N42,"")</f>
        <v>-3</v>
      </c>
      <c r="AK42" s="11" t="n">
        <f aca="false">IF(COUNT(O42,S42)=2,S42-O42,"")</f>
        <v>3</v>
      </c>
      <c r="AL42" s="11" t="n">
        <f aca="false">IF(COUNT(AB42,AC42)=2,AC42-AB42,"")</f>
        <v>3</v>
      </c>
      <c r="AM42" s="11" t="n">
        <f aca="false">IF(COUNT(AD42,AE42)=2,AE42-AD42,"")</f>
        <v>4</v>
      </c>
      <c r="AN42" s="11" t="n">
        <f aca="false">IF(COUNT(F42,H42)=2,H42-F42,"")</f>
        <v>2.61</v>
      </c>
      <c r="AO42" s="8" t="n">
        <f aca="false">IF(COUNT(E42,F42)=2,(F42-E42)/E42,"")</f>
        <v>-0.0683526999316473</v>
      </c>
      <c r="AP42" s="8" t="n">
        <f aca="false">IF(COUNT(E42,H42)=2,(H42-E42)/E42,"")</f>
        <v>0.110047846889952</v>
      </c>
      <c r="AQ42" s="8" t="str">
        <f aca="false">IF(COUNT(E42,G42)=2,(G42-E42)/E42,"")</f>
        <v/>
      </c>
    </row>
    <row r="43" customFormat="false" ht="15" hidden="false" customHeight="true" outlineLevel="0" collapsed="false">
      <c r="A43" s="9" t="s">
        <v>52</v>
      </c>
      <c r="B43" s="9" t="n">
        <v>127</v>
      </c>
      <c r="C43" s="9" t="s">
        <v>48</v>
      </c>
      <c r="D43" s="9" t="s">
        <v>60</v>
      </c>
      <c r="E43" s="10" t="n">
        <v>13.85</v>
      </c>
      <c r="F43" s="10" t="n">
        <v>18.34</v>
      </c>
      <c r="G43" s="9"/>
      <c r="H43" s="10" t="n">
        <v>17.5</v>
      </c>
      <c r="I43" s="11" t="n">
        <f aca="false">IF(COUNT(E43,F43)=2,F43-E43,"")</f>
        <v>4.49</v>
      </c>
      <c r="J43" s="11" t="n">
        <f aca="false">IF(COUNT(E43,H43)=2,H43-E43,"")</f>
        <v>3.65</v>
      </c>
      <c r="K43" s="11" t="str">
        <f aca="false">IF(COUNT(F43,G43)=2,F43-G43,"")</f>
        <v/>
      </c>
      <c r="L43" s="12" t="n">
        <v>9</v>
      </c>
      <c r="M43" s="12" t="n">
        <v>9</v>
      </c>
      <c r="N43" s="12" t="n">
        <v>9</v>
      </c>
      <c r="O43" s="12" t="n">
        <v>1</v>
      </c>
      <c r="P43" s="12" t="n">
        <v>6</v>
      </c>
      <c r="Q43" s="12" t="n">
        <v>8</v>
      </c>
      <c r="R43" s="12" t="n">
        <v>6</v>
      </c>
      <c r="S43" s="12" t="n">
        <v>7</v>
      </c>
      <c r="T43" s="12" t="n">
        <v>7</v>
      </c>
      <c r="U43" s="12" t="n">
        <v>6</v>
      </c>
      <c r="V43" s="12" t="n">
        <v>8</v>
      </c>
      <c r="W43" s="12" t="n">
        <v>5</v>
      </c>
      <c r="X43" s="12" t="n">
        <v>9</v>
      </c>
      <c r="Y43" s="12" t="n">
        <v>7</v>
      </c>
      <c r="Z43" s="9" t="s">
        <v>54</v>
      </c>
      <c r="AA43" s="9" t="s">
        <v>56</v>
      </c>
      <c r="AB43" s="12" t="n">
        <v>5</v>
      </c>
      <c r="AC43" s="12" t="n">
        <v>6</v>
      </c>
      <c r="AD43" s="12" t="n">
        <v>2</v>
      </c>
      <c r="AE43" s="12" t="n">
        <v>4</v>
      </c>
      <c r="AF43" s="12" t="n">
        <v>8</v>
      </c>
      <c r="AG43" s="12" t="n">
        <v>3</v>
      </c>
      <c r="AH43" s="11" t="n">
        <f aca="false">IF(COUNT(L43,P43)=2,P43-L43,"")</f>
        <v>-3</v>
      </c>
      <c r="AI43" s="11" t="n">
        <f aca="false">IF(COUNT(M43,Q43)=2,Q43-M43,"")</f>
        <v>-1</v>
      </c>
      <c r="AJ43" s="11" t="n">
        <f aca="false">IF(COUNT(N43,R43)=2,R43-N43,"")</f>
        <v>-3</v>
      </c>
      <c r="AK43" s="11" t="n">
        <f aca="false">IF(COUNT(O43,S43)=2,S43-O43,"")</f>
        <v>6</v>
      </c>
      <c r="AL43" s="11" t="n">
        <f aca="false">IF(COUNT(AB43,AC43)=2,AC43-AB43,"")</f>
        <v>1</v>
      </c>
      <c r="AM43" s="11" t="n">
        <f aca="false">IF(COUNT(AD43,AE43)=2,AE43-AD43,"")</f>
        <v>2</v>
      </c>
      <c r="AN43" s="11" t="n">
        <f aca="false">IF(COUNT(F43,H43)=2,H43-F43,"")</f>
        <v>-0.84</v>
      </c>
      <c r="AO43" s="8" t="n">
        <f aca="false">IF(COUNT(E43,F43)=2,(F43-E43)/E43,"")</f>
        <v>0.324187725631769</v>
      </c>
      <c r="AP43" s="8" t="n">
        <f aca="false">IF(COUNT(E43,H43)=2,(H43-E43)/E43,"")</f>
        <v>0.263537906137184</v>
      </c>
      <c r="AQ43" s="8" t="str">
        <f aca="false">IF(COUNT(E43,G43)=2,(G43-E43)/E43,"")</f>
        <v/>
      </c>
    </row>
    <row r="44" customFormat="false" ht="15" hidden="false" customHeight="true" outlineLevel="0" collapsed="false">
      <c r="A44" s="9" t="s">
        <v>52</v>
      </c>
      <c r="B44" s="9" t="n">
        <v>128</v>
      </c>
      <c r="C44" s="9" t="s">
        <v>44</v>
      </c>
      <c r="D44" s="9" t="s">
        <v>53</v>
      </c>
      <c r="E44" s="10" t="n">
        <v>15.85</v>
      </c>
      <c r="F44" s="10" t="n">
        <v>25.59</v>
      </c>
      <c r="G44" s="9"/>
      <c r="H44" s="10" t="n">
        <v>15.25</v>
      </c>
      <c r="I44" s="11" t="n">
        <f aca="false">IF(COUNT(E44,F44)=2,F44-E44,"")</f>
        <v>9.74</v>
      </c>
      <c r="J44" s="11" t="n">
        <f aca="false">IF(COUNT(E44,H44)=2,H44-E44,"")</f>
        <v>-0.6</v>
      </c>
      <c r="K44" s="11" t="str">
        <f aca="false">IF(COUNT(F44,G44)=2,F44-G44,"")</f>
        <v/>
      </c>
      <c r="L44" s="12" t="n">
        <v>9</v>
      </c>
      <c r="M44" s="12" t="n">
        <v>9</v>
      </c>
      <c r="N44" s="12" t="n">
        <v>8</v>
      </c>
      <c r="O44" s="12" t="n">
        <v>6</v>
      </c>
      <c r="P44" s="12" t="n">
        <v>9</v>
      </c>
      <c r="Q44" s="12" t="n">
        <v>7</v>
      </c>
      <c r="R44" s="12" t="n">
        <v>7</v>
      </c>
      <c r="S44" s="12" t="n">
        <v>7</v>
      </c>
      <c r="T44" s="12" t="n">
        <v>7</v>
      </c>
      <c r="U44" s="12" t="n">
        <v>9</v>
      </c>
      <c r="V44" s="12" t="n">
        <v>8</v>
      </c>
      <c r="W44" s="12" t="n">
        <v>6</v>
      </c>
      <c r="X44" s="12" t="n">
        <v>3</v>
      </c>
      <c r="Y44" s="12" t="n">
        <v>9</v>
      </c>
      <c r="Z44" s="9" t="s">
        <v>46</v>
      </c>
      <c r="AA44" s="9" t="s">
        <v>47</v>
      </c>
      <c r="AB44" s="12" t="n">
        <v>8</v>
      </c>
      <c r="AC44" s="12" t="n">
        <v>9</v>
      </c>
      <c r="AD44" s="12" t="n">
        <v>2</v>
      </c>
      <c r="AE44" s="12" t="n">
        <v>5</v>
      </c>
      <c r="AF44" s="12" t="n">
        <v>9</v>
      </c>
      <c r="AG44" s="12" t="n">
        <v>6</v>
      </c>
      <c r="AH44" s="11" t="n">
        <f aca="false">IF(COUNT(L44,P44)=2,P44-L44,"")</f>
        <v>0</v>
      </c>
      <c r="AI44" s="11" t="n">
        <f aca="false">IF(COUNT(M44,Q44)=2,Q44-M44,"")</f>
        <v>-2</v>
      </c>
      <c r="AJ44" s="11" t="n">
        <f aca="false">IF(COUNT(N44,R44)=2,R44-N44,"")</f>
        <v>-1</v>
      </c>
      <c r="AK44" s="11" t="n">
        <f aca="false">IF(COUNT(O44,S44)=2,S44-O44,"")</f>
        <v>1</v>
      </c>
      <c r="AL44" s="11" t="n">
        <f aca="false">IF(COUNT(AB44,AC44)=2,AC44-AB44,"")</f>
        <v>1</v>
      </c>
      <c r="AM44" s="11" t="n">
        <f aca="false">IF(COUNT(AD44,AE44)=2,AE44-AD44,"")</f>
        <v>3</v>
      </c>
      <c r="AN44" s="11" t="n">
        <f aca="false">IF(COUNT(F44,H44)=2,H44-F44,"")</f>
        <v>-10.34</v>
      </c>
      <c r="AO44" s="8" t="n">
        <f aca="false">IF(COUNT(E44,F44)=2,(F44-E44)/E44,"")</f>
        <v>0.614511041009464</v>
      </c>
      <c r="AP44" s="8" t="n">
        <f aca="false">IF(COUNT(E44,H44)=2,(H44-E44)/E44,"")</f>
        <v>-0.0378548895899053</v>
      </c>
      <c r="AQ44" s="8" t="str">
        <f aca="false">IF(COUNT(E44,G44)=2,(G44-E44)/E44,"")</f>
        <v/>
      </c>
    </row>
    <row r="45" customFormat="false" ht="15" hidden="false" customHeight="true" outlineLevel="0" collapsed="false">
      <c r="A45" s="9" t="s">
        <v>52</v>
      </c>
      <c r="B45" s="9" t="n">
        <v>129</v>
      </c>
      <c r="C45" s="9" t="s">
        <v>48</v>
      </c>
      <c r="D45" s="9" t="s">
        <v>58</v>
      </c>
      <c r="E45" s="10" t="n">
        <v>15.28</v>
      </c>
      <c r="F45" s="10" t="n">
        <v>17.91</v>
      </c>
      <c r="G45" s="9"/>
      <c r="H45" s="10" t="n">
        <v>19</v>
      </c>
      <c r="I45" s="11" t="n">
        <f aca="false">IF(COUNT(E45,F45)=2,F45-E45,"")</f>
        <v>2.63</v>
      </c>
      <c r="J45" s="11" t="n">
        <f aca="false">IF(COUNT(E45,H45)=2,H45-E45,"")</f>
        <v>3.72</v>
      </c>
      <c r="K45" s="11" t="str">
        <f aca="false">IF(COUNT(F45,G45)=2,F45-G45,"")</f>
        <v/>
      </c>
      <c r="L45" s="12" t="n">
        <v>8</v>
      </c>
      <c r="M45" s="12" t="n">
        <v>7</v>
      </c>
      <c r="N45" s="12" t="n">
        <v>8</v>
      </c>
      <c r="O45" s="12" t="n">
        <v>1</v>
      </c>
      <c r="P45" s="12" t="n">
        <v>7</v>
      </c>
      <c r="Q45" s="12" t="n">
        <v>6</v>
      </c>
      <c r="R45" s="12" t="n">
        <v>9</v>
      </c>
      <c r="S45" s="12" t="n">
        <v>1</v>
      </c>
      <c r="T45" s="12" t="n">
        <v>7</v>
      </c>
      <c r="U45" s="12" t="n">
        <v>7</v>
      </c>
      <c r="V45" s="12" t="n">
        <v>8</v>
      </c>
      <c r="W45" s="12" t="n">
        <v>6</v>
      </c>
      <c r="X45" s="12" t="n">
        <v>6</v>
      </c>
      <c r="Y45" s="12" t="n">
        <v>7</v>
      </c>
      <c r="Z45" s="9" t="s">
        <v>46</v>
      </c>
      <c r="AA45" s="9" t="s">
        <v>59</v>
      </c>
      <c r="AB45" s="12" t="n">
        <v>6</v>
      </c>
      <c r="AC45" s="12" t="n">
        <v>7</v>
      </c>
      <c r="AD45" s="12" t="n">
        <v>6</v>
      </c>
      <c r="AE45" s="12" t="n">
        <v>7</v>
      </c>
      <c r="AF45" s="12" t="n">
        <v>4</v>
      </c>
      <c r="AG45" s="12" t="n">
        <v>4</v>
      </c>
      <c r="AH45" s="11" t="n">
        <f aca="false">IF(COUNT(L45,P45)=2,P45-L45,"")</f>
        <v>-1</v>
      </c>
      <c r="AI45" s="11" t="n">
        <f aca="false">IF(COUNT(M45,Q45)=2,Q45-M45,"")</f>
        <v>-1</v>
      </c>
      <c r="AJ45" s="11" t="n">
        <f aca="false">IF(COUNT(N45,R45)=2,R45-N45,"")</f>
        <v>1</v>
      </c>
      <c r="AK45" s="11" t="n">
        <f aca="false">IF(COUNT(O45,S45)=2,S45-O45,"")</f>
        <v>0</v>
      </c>
      <c r="AL45" s="11" t="n">
        <f aca="false">IF(COUNT(AB45,AC45)=2,AC45-AB45,"")</f>
        <v>1</v>
      </c>
      <c r="AM45" s="11" t="n">
        <f aca="false">IF(COUNT(AD45,AE45)=2,AE45-AD45,"")</f>
        <v>1</v>
      </c>
      <c r="AN45" s="11" t="n">
        <f aca="false">IF(COUNT(F45,H45)=2,H45-F45,"")</f>
        <v>1.09</v>
      </c>
      <c r="AO45" s="8" t="n">
        <f aca="false">IF(COUNT(E45,F45)=2,(F45-E45)/E45,"")</f>
        <v>0.172120418848168</v>
      </c>
      <c r="AP45" s="8" t="n">
        <f aca="false">IF(COUNT(E45,H45)=2,(H45-E45)/E45,"")</f>
        <v>0.243455497382199</v>
      </c>
      <c r="AQ45" s="8" t="str">
        <f aca="false">IF(COUNT(E45,G45)=2,(G45-E45)/E45,"")</f>
        <v/>
      </c>
    </row>
    <row r="46" customFormat="false" ht="15" hidden="false" customHeight="true" outlineLevel="0" collapsed="false">
      <c r="A46" s="9" t="s">
        <v>52</v>
      </c>
      <c r="B46" s="9" t="n">
        <v>130</v>
      </c>
      <c r="C46" s="9" t="s">
        <v>48</v>
      </c>
      <c r="D46" s="9" t="s">
        <v>55</v>
      </c>
      <c r="E46" s="10" t="n">
        <v>16.65</v>
      </c>
      <c r="F46" s="10" t="n">
        <v>18.5</v>
      </c>
      <c r="G46" s="9"/>
      <c r="H46" s="10" t="n">
        <v>18.91</v>
      </c>
      <c r="I46" s="11" t="n">
        <f aca="false">IF(COUNT(E46,F46)=2,F46-E46,"")</f>
        <v>1.85</v>
      </c>
      <c r="J46" s="11" t="n">
        <f aca="false">IF(COUNT(E46,H46)=2,H46-E46,"")</f>
        <v>2.26</v>
      </c>
      <c r="K46" s="11" t="str">
        <f aca="false">IF(COUNT(F46,G46)=2,F46-G46,"")</f>
        <v/>
      </c>
      <c r="L46" s="12" t="n">
        <v>9</v>
      </c>
      <c r="M46" s="12" t="n">
        <v>9</v>
      </c>
      <c r="N46" s="12" t="n">
        <v>9</v>
      </c>
      <c r="O46" s="12" t="n">
        <v>1</v>
      </c>
      <c r="P46" s="12" t="n">
        <v>7</v>
      </c>
      <c r="Q46" s="12" t="n">
        <v>4</v>
      </c>
      <c r="R46" s="12" t="n">
        <v>6</v>
      </c>
      <c r="S46" s="12" t="n">
        <v>8</v>
      </c>
      <c r="T46" s="12" t="n">
        <v>6</v>
      </c>
      <c r="U46" s="12" t="n">
        <v>8</v>
      </c>
      <c r="V46" s="12" t="n">
        <v>9</v>
      </c>
      <c r="W46" s="12" t="n">
        <v>9</v>
      </c>
      <c r="X46" s="12" t="n">
        <v>6</v>
      </c>
      <c r="Y46" s="12" t="n">
        <v>8</v>
      </c>
      <c r="Z46" s="9" t="s">
        <v>54</v>
      </c>
      <c r="AA46" s="9" t="s">
        <v>47</v>
      </c>
      <c r="AB46" s="12" t="n">
        <v>5</v>
      </c>
      <c r="AC46" s="12" t="n">
        <v>8</v>
      </c>
      <c r="AD46" s="12" t="n">
        <v>4</v>
      </c>
      <c r="AE46" s="12" t="n">
        <v>7</v>
      </c>
      <c r="AF46" s="12" t="n">
        <v>7</v>
      </c>
      <c r="AG46" s="12" t="n">
        <v>4</v>
      </c>
      <c r="AH46" s="11" t="n">
        <f aca="false">IF(COUNT(L46,P46)=2,P46-L46,"")</f>
        <v>-2</v>
      </c>
      <c r="AI46" s="11" t="n">
        <f aca="false">IF(COUNT(M46,Q46)=2,Q46-M46,"")</f>
        <v>-5</v>
      </c>
      <c r="AJ46" s="11" t="n">
        <f aca="false">IF(COUNT(N46,R46)=2,R46-N46,"")</f>
        <v>-3</v>
      </c>
      <c r="AK46" s="11" t="n">
        <f aca="false">IF(COUNT(O46,S46)=2,S46-O46,"")</f>
        <v>7</v>
      </c>
      <c r="AL46" s="11" t="n">
        <f aca="false">IF(COUNT(AB46,AC46)=2,AC46-AB46,"")</f>
        <v>3</v>
      </c>
      <c r="AM46" s="11" t="n">
        <f aca="false">IF(COUNT(AD46,AE46)=2,AE46-AD46,"")</f>
        <v>3</v>
      </c>
      <c r="AN46" s="11" t="n">
        <f aca="false">IF(COUNT(F46,H46)=2,H46-F46,"")</f>
        <v>0.41</v>
      </c>
      <c r="AO46" s="8" t="n">
        <f aca="false">IF(COUNT(E46,F46)=2,(F46-E46)/E46,"")</f>
        <v>0.111111111111111</v>
      </c>
      <c r="AP46" s="8" t="n">
        <f aca="false">IF(COUNT(E46,H46)=2,(H46-E46)/E46,"")</f>
        <v>0.135735735735736</v>
      </c>
      <c r="AQ46" s="8" t="str">
        <f aca="false">IF(COUNT(E46,G46)=2,(G46-E46)/E46,"")</f>
        <v/>
      </c>
    </row>
    <row r="47" customFormat="false" ht="15" hidden="false" customHeight="true" outlineLevel="0" collapsed="false">
      <c r="A47" s="9" t="s">
        <v>52</v>
      </c>
      <c r="B47" s="9" t="n">
        <v>131</v>
      </c>
      <c r="C47" s="9" t="s">
        <v>44</v>
      </c>
      <c r="D47" s="9" t="s">
        <v>60</v>
      </c>
      <c r="E47" s="10" t="n">
        <v>13.19</v>
      </c>
      <c r="F47" s="10" t="n">
        <v>14.44</v>
      </c>
      <c r="G47" s="9"/>
      <c r="H47" s="10" t="n">
        <v>15.12</v>
      </c>
      <c r="I47" s="11" t="n">
        <f aca="false">IF(COUNT(E47,F47)=2,F47-E47,"")</f>
        <v>1.25</v>
      </c>
      <c r="J47" s="11" t="n">
        <f aca="false">IF(COUNT(E47,H47)=2,H47-E47,"")</f>
        <v>1.93</v>
      </c>
      <c r="K47" s="11" t="str">
        <f aca="false">IF(COUNT(F47,G47)=2,F47-G47,"")</f>
        <v/>
      </c>
      <c r="L47" s="12" t="n">
        <v>9</v>
      </c>
      <c r="M47" s="12" t="n">
        <v>9</v>
      </c>
      <c r="N47" s="12" t="n">
        <v>8</v>
      </c>
      <c r="O47" s="12" t="n">
        <v>1</v>
      </c>
      <c r="P47" s="12" t="n">
        <v>7</v>
      </c>
      <c r="Q47" s="12" t="n">
        <v>9</v>
      </c>
      <c r="R47" s="12" t="n">
        <v>9</v>
      </c>
      <c r="S47" s="12" t="n">
        <v>3</v>
      </c>
      <c r="T47" s="12" t="n">
        <v>9</v>
      </c>
      <c r="U47" s="12" t="n">
        <v>4</v>
      </c>
      <c r="V47" s="12" t="n">
        <v>6</v>
      </c>
      <c r="W47" s="12" t="n">
        <v>4</v>
      </c>
      <c r="X47" s="12" t="n">
        <v>7</v>
      </c>
      <c r="Y47" s="12" t="n">
        <v>9</v>
      </c>
      <c r="Z47" s="9" t="s">
        <v>46</v>
      </c>
      <c r="AA47" s="9" t="s">
        <v>59</v>
      </c>
      <c r="AB47" s="12" t="n">
        <v>9</v>
      </c>
      <c r="AC47" s="12" t="n">
        <v>7</v>
      </c>
      <c r="AD47" s="12" t="n">
        <v>9</v>
      </c>
      <c r="AE47" s="12" t="n">
        <v>6</v>
      </c>
      <c r="AF47" s="12" t="n">
        <v>9</v>
      </c>
      <c r="AG47" s="12" t="n">
        <v>5</v>
      </c>
      <c r="AH47" s="11" t="n">
        <f aca="false">IF(COUNT(L47,P47)=2,P47-L47,"")</f>
        <v>-2</v>
      </c>
      <c r="AI47" s="11" t="n">
        <f aca="false">IF(COUNT(M47,Q47)=2,Q47-M47,"")</f>
        <v>0</v>
      </c>
      <c r="AJ47" s="11" t="n">
        <f aca="false">IF(COUNT(N47,R47)=2,R47-N47,"")</f>
        <v>1</v>
      </c>
      <c r="AK47" s="11" t="n">
        <f aca="false">IF(COUNT(O47,S47)=2,S47-O47,"")</f>
        <v>2</v>
      </c>
      <c r="AL47" s="11" t="n">
        <f aca="false">IF(COUNT(AB47,AC47)=2,AC47-AB47,"")</f>
        <v>-2</v>
      </c>
      <c r="AM47" s="11" t="n">
        <f aca="false">IF(COUNT(AD47,AE47)=2,AE47-AD47,"")</f>
        <v>-3</v>
      </c>
      <c r="AN47" s="11" t="n">
        <f aca="false">IF(COUNT(F47,H47)=2,H47-F47,"")</f>
        <v>0.68</v>
      </c>
      <c r="AO47" s="8" t="n">
        <f aca="false">IF(COUNT(E47,F47)=2,(F47-E47)/E47,"")</f>
        <v>0.0947687642153146</v>
      </c>
      <c r="AP47" s="8" t="n">
        <f aca="false">IF(COUNT(E47,H47)=2,(H47-E47)/E47,"")</f>
        <v>0.146322971948446</v>
      </c>
      <c r="AQ47" s="8" t="str">
        <f aca="false">IF(COUNT(E47,G47)=2,(G47-E47)/E47,"")</f>
        <v/>
      </c>
    </row>
    <row r="48" customFormat="false" ht="15" hidden="false" customHeight="true" outlineLevel="0" collapsed="false">
      <c r="A48" s="9" t="s">
        <v>52</v>
      </c>
      <c r="B48" s="9" t="n">
        <v>132</v>
      </c>
      <c r="C48" s="9" t="s">
        <v>44</v>
      </c>
      <c r="D48" s="9" t="s">
        <v>52</v>
      </c>
      <c r="E48" s="10" t="n">
        <v>13.91</v>
      </c>
      <c r="F48" s="10" t="n">
        <v>14.9</v>
      </c>
      <c r="G48" s="9"/>
      <c r="H48" s="10" t="n">
        <v>13.94</v>
      </c>
      <c r="I48" s="11" t="n">
        <f aca="false">IF(COUNT(E48,F48)=2,F48-E48,"")</f>
        <v>0.99</v>
      </c>
      <c r="J48" s="11" t="n">
        <f aca="false">IF(COUNT(E48,H48)=2,H48-E48,"")</f>
        <v>0.0299999999999994</v>
      </c>
      <c r="K48" s="11" t="str">
        <f aca="false">IF(COUNT(F48,G48)=2,F48-G48,"")</f>
        <v/>
      </c>
      <c r="L48" s="12" t="n">
        <v>9</v>
      </c>
      <c r="M48" s="12" t="n">
        <v>9</v>
      </c>
      <c r="N48" s="12" t="n">
        <v>9</v>
      </c>
      <c r="O48" s="12" t="n">
        <v>1</v>
      </c>
      <c r="P48" s="12" t="n">
        <v>9</v>
      </c>
      <c r="Q48" s="12" t="n">
        <v>9</v>
      </c>
      <c r="R48" s="12" t="n">
        <v>9</v>
      </c>
      <c r="S48" s="12" t="n">
        <v>1</v>
      </c>
      <c r="T48" s="12" t="n">
        <v>9</v>
      </c>
      <c r="U48" s="12" t="n">
        <v>9</v>
      </c>
      <c r="V48" s="12" t="n">
        <v>9</v>
      </c>
      <c r="W48" s="12" t="n">
        <v>9</v>
      </c>
      <c r="X48" s="12" t="n">
        <v>1</v>
      </c>
      <c r="Y48" s="12" t="n">
        <v>9</v>
      </c>
      <c r="Z48" s="9" t="s">
        <v>46</v>
      </c>
      <c r="AA48" s="9" t="s">
        <v>47</v>
      </c>
      <c r="AB48" s="12" t="n">
        <v>9</v>
      </c>
      <c r="AC48" s="12" t="n">
        <v>9</v>
      </c>
      <c r="AD48" s="12" t="n">
        <v>9</v>
      </c>
      <c r="AE48" s="12" t="n">
        <v>9</v>
      </c>
      <c r="AF48" s="12" t="n">
        <v>9</v>
      </c>
      <c r="AG48" s="12" t="n">
        <v>9</v>
      </c>
      <c r="AH48" s="11" t="n">
        <f aca="false">IF(COUNT(L48,P48)=2,P48-L48,"")</f>
        <v>0</v>
      </c>
      <c r="AI48" s="11" t="n">
        <f aca="false">IF(COUNT(M48,Q48)=2,Q48-M48,"")</f>
        <v>0</v>
      </c>
      <c r="AJ48" s="11" t="n">
        <f aca="false">IF(COUNT(N48,R48)=2,R48-N48,"")</f>
        <v>0</v>
      </c>
      <c r="AK48" s="11" t="n">
        <f aca="false">IF(COUNT(O48,S48)=2,S48-O48,"")</f>
        <v>0</v>
      </c>
      <c r="AL48" s="11" t="n">
        <f aca="false">IF(COUNT(AB48,AC48)=2,AC48-AB48,"")</f>
        <v>0</v>
      </c>
      <c r="AM48" s="11" t="n">
        <f aca="false">IF(COUNT(AD48,AE48)=2,AE48-AD48,"")</f>
        <v>0</v>
      </c>
      <c r="AN48" s="11" t="n">
        <f aca="false">IF(COUNT(F48,H48)=2,H48-F48,"")</f>
        <v>-0.960000000000001</v>
      </c>
      <c r="AO48" s="8" t="n">
        <f aca="false">IF(COUNT(E48,F48)=2,(F48-E48)/E48,"")</f>
        <v>0.0711718188353703</v>
      </c>
      <c r="AP48" s="8" t="n">
        <f aca="false">IF(COUNT(E48,H48)=2,(H48-E48)/E48,"")</f>
        <v>0.00215672178288996</v>
      </c>
      <c r="AQ48" s="8" t="str">
        <f aca="false">IF(COUNT(E48,G48)=2,(G48-E48)/E48,"")</f>
        <v/>
      </c>
    </row>
    <row r="49" customFormat="false" ht="15" hidden="false" customHeight="true" outlineLevel="0" collapsed="false">
      <c r="A49" s="9" t="s">
        <v>52</v>
      </c>
      <c r="B49" s="9" t="n">
        <v>133</v>
      </c>
      <c r="C49" s="9" t="s">
        <v>48</v>
      </c>
      <c r="D49" s="9"/>
      <c r="E49" s="10" t="n">
        <v>15.44</v>
      </c>
      <c r="F49" s="10" t="n">
        <v>15.78</v>
      </c>
      <c r="G49" s="9"/>
      <c r="H49" s="9"/>
      <c r="I49" s="11" t="n">
        <f aca="false">IF(COUNT(E49,F49)=2,F49-E49,"")</f>
        <v>0.34</v>
      </c>
      <c r="J49" s="11" t="str">
        <f aca="false">IF(COUNT(E49,H49)=2,H49-E49,"")</f>
        <v/>
      </c>
      <c r="K49" s="11" t="str">
        <f aca="false">IF(COUNT(F49,G49)=2,F49-G49,"")</f>
        <v/>
      </c>
      <c r="L49" s="12" t="n">
        <v>8</v>
      </c>
      <c r="M49" s="12" t="n">
        <v>9</v>
      </c>
      <c r="N49" s="12" t="n">
        <v>8</v>
      </c>
      <c r="O49" s="12" t="n">
        <v>2</v>
      </c>
      <c r="P49" s="12" t="n">
        <v>8</v>
      </c>
      <c r="Q49" s="12" t="n">
        <v>9</v>
      </c>
      <c r="R49" s="12" t="n">
        <v>8</v>
      </c>
      <c r="S49" s="12" t="n">
        <v>2</v>
      </c>
      <c r="T49" s="12" t="n">
        <v>8</v>
      </c>
      <c r="U49" s="12" t="n">
        <v>1</v>
      </c>
      <c r="V49" s="12" t="n">
        <v>1</v>
      </c>
      <c r="W49" s="12" t="n">
        <v>1</v>
      </c>
      <c r="X49" s="12" t="n">
        <v>1</v>
      </c>
      <c r="Y49" s="12" t="n">
        <v>1</v>
      </c>
      <c r="Z49" s="9"/>
      <c r="AA49" s="9"/>
      <c r="AB49" s="9"/>
      <c r="AC49" s="9"/>
      <c r="AD49" s="9"/>
      <c r="AE49" s="9"/>
      <c r="AF49" s="9"/>
      <c r="AG49" s="9"/>
      <c r="AH49" s="11" t="n">
        <f aca="false">IF(COUNT(L49,P49)=2,P49-L49,"")</f>
        <v>0</v>
      </c>
      <c r="AI49" s="11" t="n">
        <f aca="false">IF(COUNT(M49,Q49)=2,Q49-M49,"")</f>
        <v>0</v>
      </c>
      <c r="AJ49" s="11" t="n">
        <f aca="false">IF(COUNT(N49,R49)=2,R49-N49,"")</f>
        <v>0</v>
      </c>
      <c r="AK49" s="11" t="n">
        <f aca="false">IF(COUNT(O49,S49)=2,S49-O49,"")</f>
        <v>0</v>
      </c>
      <c r="AL49" s="11" t="str">
        <f aca="false">IF(COUNT(AB49,AC49)=2,AC49-AB49,"")</f>
        <v/>
      </c>
      <c r="AM49" s="11" t="str">
        <f aca="false">IF(COUNT(AD49,AE49)=2,AE49-AD49,"")</f>
        <v/>
      </c>
      <c r="AN49" s="11" t="str">
        <f aca="false">IF(COUNT(F49,H49)=2,H49-F49,"")</f>
        <v/>
      </c>
      <c r="AO49" s="8" t="n">
        <f aca="false">IF(COUNT(E49,F49)=2,(F49-E49)/E49,"")</f>
        <v>0.022020725388601</v>
      </c>
      <c r="AP49" s="8" t="str">
        <f aca="false">IF(COUNT(E49,H49)=2,(H49-E49)/E49,"")</f>
        <v/>
      </c>
      <c r="AQ49" s="8" t="str">
        <f aca="false">IF(COUNT(E49,G49)=2,(G49-E49)/E49,"")</f>
        <v/>
      </c>
    </row>
    <row r="50" customFormat="false" ht="15" hidden="false" customHeight="true" outlineLevel="0" collapsed="false">
      <c r="A50" s="9" t="s">
        <v>52</v>
      </c>
      <c r="B50" s="9" t="n">
        <v>134</v>
      </c>
      <c r="C50" s="9" t="s">
        <v>48</v>
      </c>
      <c r="D50" s="9" t="s">
        <v>57</v>
      </c>
      <c r="E50" s="10" t="n">
        <v>20.5</v>
      </c>
      <c r="F50" s="9"/>
      <c r="G50" s="9"/>
      <c r="H50" s="10" t="n">
        <v>19.24</v>
      </c>
      <c r="I50" s="11" t="str">
        <f aca="false">IF(COUNT(E50,F50)=2,F50-E50,"")</f>
        <v/>
      </c>
      <c r="J50" s="11" t="n">
        <f aca="false">IF(COUNT(E50,H50)=2,H50-E50,"")</f>
        <v>-1.26</v>
      </c>
      <c r="K50" s="11" t="str">
        <f aca="false">IF(COUNT(F50,G50)=2,F50-G50,"")</f>
        <v/>
      </c>
      <c r="L50" s="12" t="n">
        <v>9</v>
      </c>
      <c r="M50" s="12" t="n">
        <v>9</v>
      </c>
      <c r="N50" s="12" t="n">
        <v>8</v>
      </c>
      <c r="O50" s="12" t="n">
        <v>2</v>
      </c>
      <c r="P50" s="12" t="n">
        <v>9</v>
      </c>
      <c r="Q50" s="12" t="n">
        <v>9</v>
      </c>
      <c r="R50" s="12" t="n">
        <v>7</v>
      </c>
      <c r="S50" s="12" t="n">
        <v>3</v>
      </c>
      <c r="T50" s="12" t="n">
        <v>9</v>
      </c>
      <c r="U50" s="12" t="n">
        <v>8</v>
      </c>
      <c r="V50" s="12" t="n">
        <v>8</v>
      </c>
      <c r="W50" s="12" t="n">
        <v>9</v>
      </c>
      <c r="X50" s="12" t="n">
        <v>1</v>
      </c>
      <c r="Y50" s="12" t="n">
        <v>9</v>
      </c>
      <c r="Z50" s="9" t="s">
        <v>46</v>
      </c>
      <c r="AA50" s="9" t="s">
        <v>59</v>
      </c>
      <c r="AB50" s="12" t="n">
        <v>8</v>
      </c>
      <c r="AC50" s="12" t="n">
        <v>9</v>
      </c>
      <c r="AD50" s="12" t="n">
        <v>9</v>
      </c>
      <c r="AE50" s="12" t="n">
        <v>8</v>
      </c>
      <c r="AF50" s="12" t="n">
        <v>9</v>
      </c>
      <c r="AG50" s="12" t="n">
        <v>2</v>
      </c>
      <c r="AH50" s="11" t="n">
        <f aca="false">IF(COUNT(L50,P50)=2,P50-L50,"")</f>
        <v>0</v>
      </c>
      <c r="AI50" s="11" t="n">
        <f aca="false">IF(COUNT(M50,Q50)=2,Q50-M50,"")</f>
        <v>0</v>
      </c>
      <c r="AJ50" s="11" t="n">
        <f aca="false">IF(COUNT(N50,R50)=2,R50-N50,"")</f>
        <v>-1</v>
      </c>
      <c r="AK50" s="11" t="n">
        <f aca="false">IF(COUNT(O50,S50)=2,S50-O50,"")</f>
        <v>1</v>
      </c>
      <c r="AL50" s="11" t="n">
        <f aca="false">IF(COUNT(AB50,AC50)=2,AC50-AB50,"")</f>
        <v>1</v>
      </c>
      <c r="AM50" s="11" t="n">
        <f aca="false">IF(COUNT(AD50,AE50)=2,AE50-AD50,"")</f>
        <v>-1</v>
      </c>
      <c r="AN50" s="11" t="str">
        <f aca="false">IF(COUNT(F50,H50)=2,H50-F50,"")</f>
        <v/>
      </c>
      <c r="AO50" s="8" t="str">
        <f aca="false">IF(COUNT(E50,F50)=2,(F50-E50)/E50,"")</f>
        <v/>
      </c>
      <c r="AP50" s="8" t="n">
        <f aca="false">IF(COUNT(E50,H50)=2,(H50-E50)/E50,"")</f>
        <v>-0.0614634146341464</v>
      </c>
      <c r="AQ50" s="8" t="str">
        <f aca="false">IF(COUNT(E50,G50)=2,(G50-E50)/E50,"")</f>
        <v/>
      </c>
    </row>
    <row r="51" customFormat="false" ht="15" hidden="false" customHeight="true" outlineLevel="0" collapsed="false">
      <c r="A51" s="9" t="s">
        <v>52</v>
      </c>
      <c r="B51" s="9" t="n">
        <v>135</v>
      </c>
      <c r="C51" s="9" t="s">
        <v>48</v>
      </c>
      <c r="D51" s="9" t="s">
        <v>52</v>
      </c>
      <c r="E51" s="10" t="n">
        <v>19.03</v>
      </c>
      <c r="F51" s="10" t="n">
        <v>17.59</v>
      </c>
      <c r="G51" s="9"/>
      <c r="H51" s="10" t="n">
        <v>17.71</v>
      </c>
      <c r="I51" s="11" t="n">
        <f aca="false">IF(COUNT(E51,F51)=2,F51-E51,"")</f>
        <v>-1.44</v>
      </c>
      <c r="J51" s="11" t="n">
        <f aca="false">IF(COUNT(E51,H51)=2,H51-E51,"")</f>
        <v>-1.32</v>
      </c>
      <c r="K51" s="11" t="str">
        <f aca="false">IF(COUNT(F51,G51)=2,F51-G51,"")</f>
        <v/>
      </c>
      <c r="L51" s="12" t="n">
        <v>8</v>
      </c>
      <c r="M51" s="12" t="n">
        <v>8</v>
      </c>
      <c r="N51" s="12" t="n">
        <v>9</v>
      </c>
      <c r="O51" s="12" t="n">
        <v>1</v>
      </c>
      <c r="P51" s="12" t="n">
        <v>9</v>
      </c>
      <c r="Q51" s="12" t="n">
        <v>7</v>
      </c>
      <c r="R51" s="12" t="n">
        <v>9</v>
      </c>
      <c r="S51" s="12" t="n">
        <v>6</v>
      </c>
      <c r="T51" s="12" t="n">
        <v>9</v>
      </c>
      <c r="U51" s="12" t="n">
        <v>9</v>
      </c>
      <c r="V51" s="12" t="n">
        <v>9</v>
      </c>
      <c r="W51" s="12" t="n">
        <v>8</v>
      </c>
      <c r="X51" s="12" t="n">
        <v>7</v>
      </c>
      <c r="Y51" s="12" t="n">
        <v>9</v>
      </c>
      <c r="Z51" s="9" t="s">
        <v>46</v>
      </c>
      <c r="AA51" s="9" t="s">
        <v>47</v>
      </c>
      <c r="AB51" s="12" t="n">
        <v>9</v>
      </c>
      <c r="AC51" s="12" t="n">
        <v>9</v>
      </c>
      <c r="AD51" s="12" t="n">
        <v>8</v>
      </c>
      <c r="AE51" s="12" t="n">
        <v>9</v>
      </c>
      <c r="AF51" s="12" t="n">
        <v>9</v>
      </c>
      <c r="AG51" s="12" t="n">
        <v>9</v>
      </c>
      <c r="AH51" s="11" t="n">
        <f aca="false">IF(COUNT(L51,P51)=2,P51-L51,"")</f>
        <v>1</v>
      </c>
      <c r="AI51" s="11" t="n">
        <f aca="false">IF(COUNT(M51,Q51)=2,Q51-M51,"")</f>
        <v>-1</v>
      </c>
      <c r="AJ51" s="11" t="n">
        <f aca="false">IF(COUNT(N51,R51)=2,R51-N51,"")</f>
        <v>0</v>
      </c>
      <c r="AK51" s="11" t="n">
        <f aca="false">IF(COUNT(O51,S51)=2,S51-O51,"")</f>
        <v>5</v>
      </c>
      <c r="AL51" s="11" t="n">
        <f aca="false">IF(COUNT(AB51,AC51)=2,AC51-AB51,"")</f>
        <v>0</v>
      </c>
      <c r="AM51" s="11" t="n">
        <f aca="false">IF(COUNT(AD51,AE51)=2,AE51-AD51,"")</f>
        <v>1</v>
      </c>
      <c r="AN51" s="11" t="n">
        <f aca="false">IF(COUNT(F51,H51)=2,H51-F51,"")</f>
        <v>0.120000000000001</v>
      </c>
      <c r="AO51" s="8" t="n">
        <f aca="false">IF(COUNT(E51,F51)=2,(F51-E51)/E51,"")</f>
        <v>-0.0756699947451393</v>
      </c>
      <c r="AP51" s="8" t="n">
        <f aca="false">IF(COUNT(E51,H51)=2,(H51-E51)/E51,"")</f>
        <v>-0.069364161849711</v>
      </c>
      <c r="AQ51" s="8" t="str">
        <f aca="false">IF(COUNT(E51,G51)=2,(G51-E51)/E51,"")</f>
        <v/>
      </c>
    </row>
    <row r="52" customFormat="false" ht="15" hidden="false" customHeight="true" outlineLevel="0" collapsed="false">
      <c r="A52" s="9" t="s">
        <v>52</v>
      </c>
      <c r="B52" s="9" t="n">
        <v>136</v>
      </c>
      <c r="C52" s="9" t="s">
        <v>48</v>
      </c>
      <c r="D52" s="9" t="s">
        <v>57</v>
      </c>
      <c r="E52" s="10" t="n">
        <v>17.03</v>
      </c>
      <c r="F52" s="10" t="n">
        <v>18.72</v>
      </c>
      <c r="G52" s="9"/>
      <c r="H52" s="10" t="n">
        <v>18.49</v>
      </c>
      <c r="I52" s="11" t="n">
        <f aca="false">IF(COUNT(E52,F52)=2,F52-E52,"")</f>
        <v>1.69</v>
      </c>
      <c r="J52" s="11" t="n">
        <f aca="false">IF(COUNT(E52,H52)=2,H52-E52,"")</f>
        <v>1.46</v>
      </c>
      <c r="K52" s="11" t="str">
        <f aca="false">IF(COUNT(F52,G52)=2,F52-G52,"")</f>
        <v/>
      </c>
      <c r="L52" s="12" t="n">
        <v>9</v>
      </c>
      <c r="M52" s="12" t="n">
        <v>9</v>
      </c>
      <c r="N52" s="12" t="n">
        <v>9</v>
      </c>
      <c r="O52" s="12" t="n">
        <v>9</v>
      </c>
      <c r="P52" s="12" t="n">
        <v>7</v>
      </c>
      <c r="Q52" s="12" t="n">
        <v>7</v>
      </c>
      <c r="R52" s="12" t="n">
        <v>9</v>
      </c>
      <c r="S52" s="12" t="n">
        <v>7</v>
      </c>
      <c r="T52" s="12" t="n">
        <v>8</v>
      </c>
      <c r="U52" s="9"/>
      <c r="V52" s="9"/>
      <c r="W52" s="9"/>
      <c r="X52" s="9"/>
      <c r="Y52" s="9"/>
      <c r="Z52" s="9" t="s">
        <v>54</v>
      </c>
      <c r="AA52" s="9" t="s">
        <v>47</v>
      </c>
      <c r="AB52" s="12" t="n">
        <v>6</v>
      </c>
      <c r="AC52" s="12" t="n">
        <v>7</v>
      </c>
      <c r="AD52" s="12" t="n">
        <v>2</v>
      </c>
      <c r="AE52" s="12" t="n">
        <v>5</v>
      </c>
      <c r="AF52" s="12" t="n">
        <v>7</v>
      </c>
      <c r="AG52" s="12" t="n">
        <v>1</v>
      </c>
      <c r="AH52" s="11" t="n">
        <f aca="false">IF(COUNT(L52,P52)=2,P52-L52,"")</f>
        <v>-2</v>
      </c>
      <c r="AI52" s="11" t="n">
        <f aca="false">IF(COUNT(M52,Q52)=2,Q52-M52,"")</f>
        <v>-2</v>
      </c>
      <c r="AJ52" s="11" t="n">
        <f aca="false">IF(COUNT(N52,R52)=2,R52-N52,"")</f>
        <v>0</v>
      </c>
      <c r="AK52" s="11" t="n">
        <f aca="false">IF(COUNT(O52,S52)=2,S52-O52,"")</f>
        <v>-2</v>
      </c>
      <c r="AL52" s="11" t="n">
        <f aca="false">IF(COUNT(AB52,AC52)=2,AC52-AB52,"")</f>
        <v>1</v>
      </c>
      <c r="AM52" s="11" t="n">
        <f aca="false">IF(COUNT(AD52,AE52)=2,AE52-AD52,"")</f>
        <v>3</v>
      </c>
      <c r="AN52" s="11" t="n">
        <f aca="false">IF(COUNT(F52,H52)=2,H52-F52,"")</f>
        <v>-0.23</v>
      </c>
      <c r="AO52" s="8" t="n">
        <f aca="false">IF(COUNT(E52,F52)=2,(F52-E52)/E52,"")</f>
        <v>0.0992366412213739</v>
      </c>
      <c r="AP52" s="8" t="n">
        <f aca="false">IF(COUNT(E52,H52)=2,(H52-E52)/E52,"")</f>
        <v>0.0857310628302993</v>
      </c>
      <c r="AQ52" s="8" t="str">
        <f aca="false">IF(COUNT(E52,G52)=2,(G52-E52)/E52,"")</f>
        <v/>
      </c>
    </row>
    <row r="53" customFormat="false" ht="15" hidden="false" customHeight="true" outlineLevel="0" collapsed="false">
      <c r="A53" s="9" t="s">
        <v>52</v>
      </c>
      <c r="B53" s="9" t="n">
        <v>137</v>
      </c>
      <c r="C53" s="9" t="s">
        <v>44</v>
      </c>
      <c r="D53" s="9" t="s">
        <v>53</v>
      </c>
      <c r="E53" s="10" t="n">
        <v>19.6</v>
      </c>
      <c r="F53" s="10" t="n">
        <v>29.47</v>
      </c>
      <c r="G53" s="9"/>
      <c r="H53" s="10" t="n">
        <v>21.28</v>
      </c>
      <c r="I53" s="11" t="n">
        <f aca="false">IF(COUNT(E53,F53)=2,F53-E53,"")</f>
        <v>9.87</v>
      </c>
      <c r="J53" s="11" t="n">
        <f aca="false">IF(COUNT(E53,H53)=2,H53-E53,"")</f>
        <v>1.68</v>
      </c>
      <c r="K53" s="11" t="str">
        <f aca="false">IF(COUNT(F53,G53)=2,F53-G53,"")</f>
        <v/>
      </c>
      <c r="L53" s="12" t="n">
        <v>8</v>
      </c>
      <c r="M53" s="12" t="n">
        <v>9</v>
      </c>
      <c r="N53" s="12" t="n">
        <v>9</v>
      </c>
      <c r="O53" s="12" t="n">
        <v>2</v>
      </c>
      <c r="P53" s="12" t="n">
        <v>7</v>
      </c>
      <c r="Q53" s="12" t="n">
        <v>6</v>
      </c>
      <c r="R53" s="12" t="n">
        <v>1</v>
      </c>
      <c r="S53" s="12" t="n">
        <v>9</v>
      </c>
      <c r="T53" s="12" t="n">
        <v>7</v>
      </c>
      <c r="U53" s="12" t="n">
        <v>7</v>
      </c>
      <c r="V53" s="12" t="n">
        <v>8</v>
      </c>
      <c r="W53" s="12" t="n">
        <v>7</v>
      </c>
      <c r="X53" s="12" t="n">
        <v>5</v>
      </c>
      <c r="Y53" s="12" t="n">
        <v>9</v>
      </c>
      <c r="Z53" s="9" t="s">
        <v>54</v>
      </c>
      <c r="AA53" s="9" t="s">
        <v>56</v>
      </c>
      <c r="AB53" s="12" t="n">
        <v>6</v>
      </c>
      <c r="AC53" s="12" t="n">
        <v>9</v>
      </c>
      <c r="AD53" s="12" t="n">
        <v>4</v>
      </c>
      <c r="AE53" s="12" t="n">
        <v>7</v>
      </c>
      <c r="AF53" s="12" t="n">
        <v>8</v>
      </c>
      <c r="AG53" s="12" t="n">
        <v>6</v>
      </c>
      <c r="AH53" s="11" t="n">
        <f aca="false">IF(COUNT(L53,P53)=2,P53-L53,"")</f>
        <v>-1</v>
      </c>
      <c r="AI53" s="11" t="n">
        <f aca="false">IF(COUNT(M53,Q53)=2,Q53-M53,"")</f>
        <v>-3</v>
      </c>
      <c r="AJ53" s="11" t="n">
        <f aca="false">IF(COUNT(N53,R53)=2,R53-N53,"")</f>
        <v>-8</v>
      </c>
      <c r="AK53" s="11" t="n">
        <f aca="false">IF(COUNT(O53,S53)=2,S53-O53,"")</f>
        <v>7</v>
      </c>
      <c r="AL53" s="11" t="n">
        <f aca="false">IF(COUNT(AB53,AC53)=2,AC53-AB53,"")</f>
        <v>3</v>
      </c>
      <c r="AM53" s="11" t="n">
        <f aca="false">IF(COUNT(AD53,AE53)=2,AE53-AD53,"")</f>
        <v>3</v>
      </c>
      <c r="AN53" s="11" t="n">
        <f aca="false">IF(COUNT(F53,H53)=2,H53-F53,"")</f>
        <v>-8.19</v>
      </c>
      <c r="AO53" s="8" t="n">
        <f aca="false">IF(COUNT(E53,F53)=2,(F53-E53)/E53,"")</f>
        <v>0.503571428571428</v>
      </c>
      <c r="AP53" s="8" t="n">
        <f aca="false">IF(COUNT(E53,H53)=2,(H53-E53)/E53,"")</f>
        <v>0.0857142857142857</v>
      </c>
      <c r="AQ53" s="8" t="str">
        <f aca="false">IF(COUNT(E53,G53)=2,(G53-E53)/E53,"")</f>
        <v/>
      </c>
    </row>
    <row r="54" customFormat="false" ht="15" hidden="false" customHeight="true" outlineLevel="0" collapsed="false">
      <c r="A54" s="9" t="s">
        <v>52</v>
      </c>
      <c r="B54" s="9" t="n">
        <v>138</v>
      </c>
      <c r="C54" s="9" t="s">
        <v>48</v>
      </c>
      <c r="D54" s="9" t="s">
        <v>58</v>
      </c>
      <c r="E54" s="10" t="n">
        <v>11.36</v>
      </c>
      <c r="F54" s="10" t="n">
        <v>15.04</v>
      </c>
      <c r="G54" s="9"/>
      <c r="H54" s="10" t="n">
        <v>12.28</v>
      </c>
      <c r="I54" s="11" t="n">
        <f aca="false">IF(COUNT(E54,F54)=2,F54-E54,"")</f>
        <v>3.68</v>
      </c>
      <c r="J54" s="11" t="n">
        <f aca="false">IF(COUNT(E54,H54)=2,H54-E54,"")</f>
        <v>0.92</v>
      </c>
      <c r="K54" s="11" t="str">
        <f aca="false">IF(COUNT(F54,G54)=2,F54-G54,"")</f>
        <v/>
      </c>
      <c r="L54" s="12" t="n">
        <v>9</v>
      </c>
      <c r="M54" s="12" t="n">
        <v>9</v>
      </c>
      <c r="N54" s="12" t="n">
        <v>9</v>
      </c>
      <c r="O54" s="12" t="n">
        <v>1</v>
      </c>
      <c r="P54" s="12" t="n">
        <v>9</v>
      </c>
      <c r="Q54" s="12" t="n">
        <v>9</v>
      </c>
      <c r="R54" s="12" t="n">
        <v>7</v>
      </c>
      <c r="S54" s="12" t="n">
        <v>3</v>
      </c>
      <c r="T54" s="12" t="n">
        <v>9</v>
      </c>
      <c r="U54" s="12" t="n">
        <v>9</v>
      </c>
      <c r="V54" s="12" t="n">
        <v>9</v>
      </c>
      <c r="W54" s="12" t="n">
        <v>9</v>
      </c>
      <c r="X54" s="12" t="n">
        <v>1</v>
      </c>
      <c r="Y54" s="12" t="n">
        <v>9</v>
      </c>
      <c r="Z54" s="9" t="s">
        <v>54</v>
      </c>
      <c r="AA54" s="9" t="s">
        <v>47</v>
      </c>
      <c r="AB54" s="12" t="n">
        <v>7</v>
      </c>
      <c r="AC54" s="12" t="n">
        <v>9</v>
      </c>
      <c r="AD54" s="12" t="n">
        <v>7</v>
      </c>
      <c r="AE54" s="12" t="n">
        <v>9</v>
      </c>
      <c r="AF54" s="12" t="n">
        <v>9</v>
      </c>
      <c r="AG54" s="12" t="n">
        <v>5</v>
      </c>
      <c r="AH54" s="11" t="n">
        <f aca="false">IF(COUNT(L54,P54)=2,P54-L54,"")</f>
        <v>0</v>
      </c>
      <c r="AI54" s="11" t="n">
        <f aca="false">IF(COUNT(M54,Q54)=2,Q54-M54,"")</f>
        <v>0</v>
      </c>
      <c r="AJ54" s="11" t="n">
        <f aca="false">IF(COUNT(N54,R54)=2,R54-N54,"")</f>
        <v>-2</v>
      </c>
      <c r="AK54" s="11" t="n">
        <f aca="false">IF(COUNT(O54,S54)=2,S54-O54,"")</f>
        <v>2</v>
      </c>
      <c r="AL54" s="11" t="n">
        <f aca="false">IF(COUNT(AB54,AC54)=2,AC54-AB54,"")</f>
        <v>2</v>
      </c>
      <c r="AM54" s="11" t="n">
        <f aca="false">IF(COUNT(AD54,AE54)=2,AE54-AD54,"")</f>
        <v>2</v>
      </c>
      <c r="AN54" s="11" t="n">
        <f aca="false">IF(COUNT(F54,H54)=2,H54-F54,"")</f>
        <v>-2.76</v>
      </c>
      <c r="AO54" s="8" t="n">
        <f aca="false">IF(COUNT(E54,F54)=2,(F54-E54)/E54,"")</f>
        <v>0.323943661971831</v>
      </c>
      <c r="AP54" s="8" t="n">
        <f aca="false">IF(COUNT(E54,H54)=2,(H54-E54)/E54,"")</f>
        <v>0.0809859154929578</v>
      </c>
      <c r="AQ54" s="8" t="str">
        <f aca="false">IF(COUNT(E54,G54)=2,(G54-E54)/E54,"")</f>
        <v/>
      </c>
    </row>
    <row r="55" customFormat="false" ht="15" hidden="false" customHeight="true" outlineLevel="0" collapsed="false">
      <c r="A55" s="9" t="s">
        <v>52</v>
      </c>
      <c r="B55" s="9" t="n">
        <v>139</v>
      </c>
      <c r="C55" s="9" t="s">
        <v>44</v>
      </c>
      <c r="D55" s="9" t="s">
        <v>55</v>
      </c>
      <c r="E55" s="10" t="n">
        <v>19.01</v>
      </c>
      <c r="F55" s="10" t="n">
        <v>19.01</v>
      </c>
      <c r="G55" s="9"/>
      <c r="H55" s="10" t="n">
        <v>20.31</v>
      </c>
      <c r="I55" s="11" t="n">
        <f aca="false">IF(COUNT(E55,F55)=2,F55-E55,"")</f>
        <v>0</v>
      </c>
      <c r="J55" s="11" t="n">
        <f aca="false">IF(COUNT(E55,H55)=2,H55-E55,"")</f>
        <v>1.3</v>
      </c>
      <c r="K55" s="11" t="str">
        <f aca="false">IF(COUNT(F55,G55)=2,F55-G55,"")</f>
        <v/>
      </c>
      <c r="L55" s="12" t="n">
        <v>9</v>
      </c>
      <c r="M55" s="12" t="n">
        <v>9</v>
      </c>
      <c r="N55" s="12" t="n">
        <v>9</v>
      </c>
      <c r="O55" s="12" t="n">
        <v>1</v>
      </c>
      <c r="P55" s="12" t="n">
        <v>9</v>
      </c>
      <c r="Q55" s="12" t="n">
        <v>9</v>
      </c>
      <c r="R55" s="12" t="n">
        <v>9</v>
      </c>
      <c r="S55" s="12" t="n">
        <v>1</v>
      </c>
      <c r="T55" s="12" t="n">
        <v>9</v>
      </c>
      <c r="U55" s="12" t="n">
        <v>9</v>
      </c>
      <c r="V55" s="12" t="n">
        <v>9</v>
      </c>
      <c r="W55" s="12" t="n">
        <v>9</v>
      </c>
      <c r="X55" s="12" t="n">
        <v>8</v>
      </c>
      <c r="Y55" s="12" t="n">
        <v>9</v>
      </c>
      <c r="Z55" s="9" t="s">
        <v>46</v>
      </c>
      <c r="AA55" s="9" t="s">
        <v>59</v>
      </c>
      <c r="AB55" s="12" t="n">
        <v>9</v>
      </c>
      <c r="AC55" s="12" t="n">
        <v>6</v>
      </c>
      <c r="AD55" s="12" t="n">
        <v>9</v>
      </c>
      <c r="AE55" s="12" t="n">
        <v>4</v>
      </c>
      <c r="AF55" s="12" t="n">
        <v>9</v>
      </c>
      <c r="AG55" s="12" t="n">
        <v>9</v>
      </c>
      <c r="AH55" s="11" t="n">
        <f aca="false">IF(COUNT(L55,P55)=2,P55-L55,"")</f>
        <v>0</v>
      </c>
      <c r="AI55" s="11" t="n">
        <f aca="false">IF(COUNT(M55,Q55)=2,Q55-M55,"")</f>
        <v>0</v>
      </c>
      <c r="AJ55" s="11" t="n">
        <f aca="false">IF(COUNT(N55,R55)=2,R55-N55,"")</f>
        <v>0</v>
      </c>
      <c r="AK55" s="11" t="n">
        <f aca="false">IF(COUNT(O55,S55)=2,S55-O55,"")</f>
        <v>0</v>
      </c>
      <c r="AL55" s="11" t="n">
        <f aca="false">IF(COUNT(AB55,AC55)=2,AC55-AB55,"")</f>
        <v>-3</v>
      </c>
      <c r="AM55" s="11" t="n">
        <f aca="false">IF(COUNT(AD55,AE55)=2,AE55-AD55,"")</f>
        <v>-5</v>
      </c>
      <c r="AN55" s="11" t="n">
        <f aca="false">IF(COUNT(F55,H55)=2,H55-F55,"")</f>
        <v>1.3</v>
      </c>
      <c r="AO55" s="8" t="n">
        <f aca="false">IF(COUNT(E55,F55)=2,(F55-E55)/E55,"")</f>
        <v>0</v>
      </c>
      <c r="AP55" s="8" t="n">
        <f aca="false">IF(COUNT(E55,H55)=2,(H55-E55)/E55,"")</f>
        <v>0.0683850604944764</v>
      </c>
      <c r="AQ55" s="8" t="str">
        <f aca="false">IF(COUNT(E55,G55)=2,(G55-E55)/E55,"")</f>
        <v/>
      </c>
    </row>
    <row r="56" customFormat="false" ht="15" hidden="false" customHeight="true" outlineLevel="0" collapsed="false">
      <c r="A56" s="9" t="s">
        <v>52</v>
      </c>
      <c r="B56" s="9" t="n">
        <v>140</v>
      </c>
      <c r="C56" s="9" t="s">
        <v>44</v>
      </c>
      <c r="D56" s="9" t="s">
        <v>60</v>
      </c>
      <c r="E56" s="10" t="n">
        <v>15.94</v>
      </c>
      <c r="F56" s="10" t="n">
        <v>18.88</v>
      </c>
      <c r="G56" s="9"/>
      <c r="H56" s="10" t="n">
        <v>18.28</v>
      </c>
      <c r="I56" s="11" t="n">
        <f aca="false">IF(COUNT(E56,F56)=2,F56-E56,"")</f>
        <v>2.94</v>
      </c>
      <c r="J56" s="11" t="n">
        <f aca="false">IF(COUNT(E56,H56)=2,H56-E56,"")</f>
        <v>2.34</v>
      </c>
      <c r="K56" s="11" t="str">
        <f aca="false">IF(COUNT(F56,G56)=2,F56-G56,"")</f>
        <v/>
      </c>
      <c r="L56" s="12" t="n">
        <v>7</v>
      </c>
      <c r="M56" s="12" t="n">
        <v>8</v>
      </c>
      <c r="N56" s="12" t="n">
        <v>8</v>
      </c>
      <c r="O56" s="12" t="n">
        <v>2</v>
      </c>
      <c r="P56" s="12" t="n">
        <v>6</v>
      </c>
      <c r="Q56" s="12" t="n">
        <v>8</v>
      </c>
      <c r="R56" s="12" t="n">
        <v>7</v>
      </c>
      <c r="S56" s="12" t="n">
        <v>8</v>
      </c>
      <c r="T56" s="12" t="n">
        <v>8</v>
      </c>
      <c r="U56" s="12" t="n">
        <v>6</v>
      </c>
      <c r="V56" s="12" t="n">
        <v>5</v>
      </c>
      <c r="W56" s="12" t="n">
        <v>5</v>
      </c>
      <c r="X56" s="12" t="n">
        <v>7</v>
      </c>
      <c r="Y56" s="12" t="n">
        <v>8</v>
      </c>
      <c r="Z56" s="9" t="s">
        <v>46</v>
      </c>
      <c r="AA56" s="9" t="s">
        <v>56</v>
      </c>
      <c r="AB56" s="12" t="n">
        <v>7</v>
      </c>
      <c r="AC56" s="12" t="n">
        <v>8</v>
      </c>
      <c r="AD56" s="12" t="n">
        <v>7</v>
      </c>
      <c r="AE56" s="12" t="n">
        <v>8</v>
      </c>
      <c r="AF56" s="12" t="n">
        <v>9</v>
      </c>
      <c r="AG56" s="12" t="n">
        <v>8</v>
      </c>
      <c r="AH56" s="11" t="n">
        <f aca="false">IF(COUNT(L56,P56)=2,P56-L56,"")</f>
        <v>-1</v>
      </c>
      <c r="AI56" s="11" t="n">
        <f aca="false">IF(COUNT(M56,Q56)=2,Q56-M56,"")</f>
        <v>0</v>
      </c>
      <c r="AJ56" s="11" t="n">
        <f aca="false">IF(COUNT(N56,R56)=2,R56-N56,"")</f>
        <v>-1</v>
      </c>
      <c r="AK56" s="11" t="n">
        <f aca="false">IF(COUNT(O56,S56)=2,S56-O56,"")</f>
        <v>6</v>
      </c>
      <c r="AL56" s="11" t="n">
        <f aca="false">IF(COUNT(AB56,AC56)=2,AC56-AB56,"")</f>
        <v>1</v>
      </c>
      <c r="AM56" s="11" t="n">
        <f aca="false">IF(COUNT(AD56,AE56)=2,AE56-AD56,"")</f>
        <v>1</v>
      </c>
      <c r="AN56" s="11" t="n">
        <f aca="false">IF(COUNT(F56,H56)=2,H56-F56,"")</f>
        <v>-0.599999999999998</v>
      </c>
      <c r="AO56" s="8" t="n">
        <f aca="false">IF(COUNT(E56,F56)=2,(F56-E56)/E56,"")</f>
        <v>0.18444165621079</v>
      </c>
      <c r="AP56" s="8" t="n">
        <f aca="false">IF(COUNT(E56,H56)=2,(H56-E56)/E56,"")</f>
        <v>0.146800501882058</v>
      </c>
      <c r="AQ56" s="8" t="str">
        <f aca="false">IF(COUNT(E56,G56)=2,(G56-E56)/E56,"")</f>
        <v/>
      </c>
    </row>
    <row r="57" customFormat="false" ht="15" hidden="false" customHeight="true" outlineLevel="0" collapsed="false">
      <c r="A57" s="9" t="s">
        <v>52</v>
      </c>
      <c r="B57" s="9" t="n">
        <v>141</v>
      </c>
      <c r="C57" s="9" t="s">
        <v>48</v>
      </c>
      <c r="D57" s="9" t="s">
        <v>60</v>
      </c>
      <c r="E57" s="10" t="n">
        <v>14.68</v>
      </c>
      <c r="F57" s="10" t="n">
        <v>17.19</v>
      </c>
      <c r="G57" s="9"/>
      <c r="H57" s="10" t="n">
        <v>15.34</v>
      </c>
      <c r="I57" s="11" t="n">
        <f aca="false">IF(COUNT(E57,F57)=2,F57-E57,"")</f>
        <v>2.51</v>
      </c>
      <c r="J57" s="11" t="n">
        <f aca="false">IF(COUNT(E57,H57)=2,H57-E57,"")</f>
        <v>0.66</v>
      </c>
      <c r="K57" s="11" t="str">
        <f aca="false">IF(COUNT(F57,G57)=2,F57-G57,"")</f>
        <v/>
      </c>
      <c r="L57" s="12" t="n">
        <v>9</v>
      </c>
      <c r="M57" s="12" t="n">
        <v>9</v>
      </c>
      <c r="N57" s="12" t="n">
        <v>9</v>
      </c>
      <c r="O57" s="12" t="n">
        <v>1</v>
      </c>
      <c r="P57" s="12" t="n">
        <v>9</v>
      </c>
      <c r="Q57" s="12" t="n">
        <v>9</v>
      </c>
      <c r="R57" s="12" t="n">
        <v>8</v>
      </c>
      <c r="S57" s="12" t="n">
        <v>8</v>
      </c>
      <c r="T57" s="12" t="n">
        <v>9</v>
      </c>
      <c r="U57" s="12" t="n">
        <v>8</v>
      </c>
      <c r="V57" s="12" t="n">
        <v>9</v>
      </c>
      <c r="W57" s="12" t="n">
        <v>8</v>
      </c>
      <c r="X57" s="12" t="n">
        <v>8</v>
      </c>
      <c r="Y57" s="12" t="n">
        <v>9</v>
      </c>
      <c r="Z57" s="9" t="s">
        <v>46</v>
      </c>
      <c r="AA57" s="9" t="s">
        <v>56</v>
      </c>
      <c r="AB57" s="12" t="n">
        <v>9</v>
      </c>
      <c r="AC57" s="12" t="n">
        <v>9</v>
      </c>
      <c r="AD57" s="12" t="n">
        <v>8</v>
      </c>
      <c r="AE57" s="12" t="n">
        <v>9</v>
      </c>
      <c r="AF57" s="12" t="n">
        <v>7</v>
      </c>
      <c r="AG57" s="12" t="n">
        <v>7</v>
      </c>
      <c r="AH57" s="11" t="n">
        <f aca="false">IF(COUNT(L57,P57)=2,P57-L57,"")</f>
        <v>0</v>
      </c>
      <c r="AI57" s="11" t="n">
        <f aca="false">IF(COUNT(M57,Q57)=2,Q57-M57,"")</f>
        <v>0</v>
      </c>
      <c r="AJ57" s="11" t="n">
        <f aca="false">IF(COUNT(N57,R57)=2,R57-N57,"")</f>
        <v>-1</v>
      </c>
      <c r="AK57" s="11" t="n">
        <f aca="false">IF(COUNT(O57,S57)=2,S57-O57,"")</f>
        <v>7</v>
      </c>
      <c r="AL57" s="11" t="n">
        <f aca="false">IF(COUNT(AB57,AC57)=2,AC57-AB57,"")</f>
        <v>0</v>
      </c>
      <c r="AM57" s="11" t="n">
        <f aca="false">IF(COUNT(AD57,AE57)=2,AE57-AD57,"")</f>
        <v>1</v>
      </c>
      <c r="AN57" s="11" t="n">
        <f aca="false">IF(COUNT(F57,H57)=2,H57-F57,"")</f>
        <v>-1.85</v>
      </c>
      <c r="AO57" s="8" t="n">
        <f aca="false">IF(COUNT(E57,F57)=2,(F57-E57)/E57,"")</f>
        <v>0.170980926430518</v>
      </c>
      <c r="AP57" s="8" t="n">
        <f aca="false">IF(COUNT(E57,H57)=2,(H57-E57)/E57,"")</f>
        <v>0.0449591280653951</v>
      </c>
      <c r="AQ57" s="8" t="str">
        <f aca="false">IF(COUNT(E57,G57)=2,(G57-E57)/E57,"")</f>
        <v/>
      </c>
    </row>
    <row r="58" customFormat="false" ht="15" hidden="false" customHeight="true" outlineLevel="0" collapsed="false">
      <c r="A58" s="9" t="s">
        <v>52</v>
      </c>
      <c r="B58" s="9" t="n">
        <v>142</v>
      </c>
      <c r="C58" s="9" t="s">
        <v>48</v>
      </c>
      <c r="D58" s="9" t="s">
        <v>55</v>
      </c>
      <c r="E58" s="10" t="n">
        <v>15.31</v>
      </c>
      <c r="F58" s="10" t="n">
        <v>16.85</v>
      </c>
      <c r="G58" s="9"/>
      <c r="H58" s="10" t="n">
        <v>19.06</v>
      </c>
      <c r="I58" s="11" t="n">
        <f aca="false">IF(COUNT(E58,F58)=2,F58-E58,"")</f>
        <v>1.54</v>
      </c>
      <c r="J58" s="11" t="n">
        <f aca="false">IF(COUNT(E58,H58)=2,H58-E58,"")</f>
        <v>3.75</v>
      </c>
      <c r="K58" s="11" t="str">
        <f aca="false">IF(COUNT(F58,G58)=2,F58-G58,"")</f>
        <v/>
      </c>
      <c r="L58" s="12" t="n">
        <v>9</v>
      </c>
      <c r="M58" s="12" t="n">
        <v>9</v>
      </c>
      <c r="N58" s="12" t="n">
        <v>9</v>
      </c>
      <c r="O58" s="12" t="n">
        <v>1</v>
      </c>
      <c r="P58" s="12" t="n">
        <v>8</v>
      </c>
      <c r="Q58" s="12" t="n">
        <v>8</v>
      </c>
      <c r="R58" s="12" t="n">
        <v>9</v>
      </c>
      <c r="S58" s="12" t="n">
        <v>2</v>
      </c>
      <c r="T58" s="12" t="n">
        <v>8</v>
      </c>
      <c r="U58" s="12" t="n">
        <v>4</v>
      </c>
      <c r="V58" s="12" t="n">
        <v>4</v>
      </c>
      <c r="W58" s="12" t="n">
        <v>7</v>
      </c>
      <c r="X58" s="12" t="n">
        <v>4</v>
      </c>
      <c r="Y58" s="12" t="n">
        <v>7</v>
      </c>
      <c r="Z58" s="9" t="s">
        <v>46</v>
      </c>
      <c r="AA58" s="9" t="s">
        <v>59</v>
      </c>
      <c r="AB58" s="12" t="n">
        <v>8</v>
      </c>
      <c r="AC58" s="12" t="n">
        <v>4</v>
      </c>
      <c r="AD58" s="12" t="n">
        <v>8</v>
      </c>
      <c r="AE58" s="12" t="n">
        <v>5</v>
      </c>
      <c r="AF58" s="12" t="n">
        <v>7</v>
      </c>
      <c r="AG58" s="12" t="n">
        <v>5</v>
      </c>
      <c r="AH58" s="11" t="n">
        <f aca="false">IF(COUNT(L58,P58)=2,P58-L58,"")</f>
        <v>-1</v>
      </c>
      <c r="AI58" s="11" t="n">
        <f aca="false">IF(COUNT(M58,Q58)=2,Q58-M58,"")</f>
        <v>-1</v>
      </c>
      <c r="AJ58" s="11" t="n">
        <f aca="false">IF(COUNT(N58,R58)=2,R58-N58,"")</f>
        <v>0</v>
      </c>
      <c r="AK58" s="11" t="n">
        <f aca="false">IF(COUNT(O58,S58)=2,S58-O58,"")</f>
        <v>1</v>
      </c>
      <c r="AL58" s="11" t="n">
        <f aca="false">IF(COUNT(AB58,AC58)=2,AC58-AB58,"")</f>
        <v>-4</v>
      </c>
      <c r="AM58" s="11" t="n">
        <f aca="false">IF(COUNT(AD58,AE58)=2,AE58-AD58,"")</f>
        <v>-3</v>
      </c>
      <c r="AN58" s="11" t="n">
        <f aca="false">IF(COUNT(F58,H58)=2,H58-F58,"")</f>
        <v>2.21</v>
      </c>
      <c r="AO58" s="8" t="n">
        <f aca="false">IF(COUNT(E58,F58)=2,(F58-E58)/E58,"")</f>
        <v>0.100587851077727</v>
      </c>
      <c r="AP58" s="8" t="n">
        <f aca="false">IF(COUNT(E58,H58)=2,(H58-E58)/E58,"")</f>
        <v>0.244937949052906</v>
      </c>
      <c r="AQ58" s="8" t="str">
        <f aca="false">IF(COUNT(E58,G58)=2,(G58-E58)/E58,"")</f>
        <v/>
      </c>
    </row>
    <row r="59" customFormat="false" ht="15" hidden="false" customHeight="true" outlineLevel="0" collapsed="false">
      <c r="A59" s="9" t="s">
        <v>52</v>
      </c>
      <c r="B59" s="9" t="n">
        <v>143</v>
      </c>
      <c r="C59" s="9" t="s">
        <v>48</v>
      </c>
      <c r="D59" s="9" t="s">
        <v>52</v>
      </c>
      <c r="E59" s="10" t="n">
        <v>12.54</v>
      </c>
      <c r="F59" s="10" t="n">
        <v>14.87</v>
      </c>
      <c r="G59" s="9"/>
      <c r="H59" s="10" t="n">
        <v>14.4</v>
      </c>
      <c r="I59" s="11" t="n">
        <f aca="false">IF(COUNT(E59,F59)=2,F59-E59,"")</f>
        <v>2.33</v>
      </c>
      <c r="J59" s="11" t="n">
        <f aca="false">IF(COUNT(E59,H59)=2,H59-E59,"")</f>
        <v>1.86</v>
      </c>
      <c r="K59" s="11" t="str">
        <f aca="false">IF(COUNT(F59,G59)=2,F59-G59,"")</f>
        <v/>
      </c>
      <c r="L59" s="12" t="n">
        <v>9</v>
      </c>
      <c r="M59" s="12" t="n">
        <v>1</v>
      </c>
      <c r="N59" s="12" t="n">
        <v>9</v>
      </c>
      <c r="O59" s="12" t="n">
        <v>1</v>
      </c>
      <c r="P59" s="12" t="n">
        <v>9</v>
      </c>
      <c r="Q59" s="12" t="n">
        <v>1</v>
      </c>
      <c r="R59" s="12" t="n">
        <v>9</v>
      </c>
      <c r="S59" s="12" t="n">
        <v>1</v>
      </c>
      <c r="T59" s="12" t="n">
        <v>5</v>
      </c>
      <c r="U59" s="12" t="n">
        <v>9</v>
      </c>
      <c r="V59" s="12" t="n">
        <v>1</v>
      </c>
      <c r="W59" s="12" t="n">
        <v>9</v>
      </c>
      <c r="X59" s="12" t="n">
        <v>1</v>
      </c>
      <c r="Y59" s="12" t="n">
        <v>7</v>
      </c>
      <c r="Z59" s="9" t="s">
        <v>46</v>
      </c>
      <c r="AA59" s="9" t="s">
        <v>47</v>
      </c>
      <c r="AB59" s="12" t="n">
        <v>4</v>
      </c>
      <c r="AC59" s="12" t="n">
        <v>6</v>
      </c>
      <c r="AD59" s="12" t="n">
        <v>5</v>
      </c>
      <c r="AE59" s="12" t="n">
        <v>7</v>
      </c>
      <c r="AF59" s="12" t="n">
        <v>7</v>
      </c>
      <c r="AG59" s="12" t="n">
        <v>8</v>
      </c>
      <c r="AH59" s="11" t="n">
        <f aca="false">IF(COUNT(L59,P59)=2,P59-L59,"")</f>
        <v>0</v>
      </c>
      <c r="AI59" s="11" t="n">
        <f aca="false">IF(COUNT(M59,Q59)=2,Q59-M59,"")</f>
        <v>0</v>
      </c>
      <c r="AJ59" s="11" t="n">
        <f aca="false">IF(COUNT(N59,R59)=2,R59-N59,"")</f>
        <v>0</v>
      </c>
      <c r="AK59" s="11" t="n">
        <f aca="false">IF(COUNT(O59,S59)=2,S59-O59,"")</f>
        <v>0</v>
      </c>
      <c r="AL59" s="11" t="n">
        <f aca="false">IF(COUNT(AB59,AC59)=2,AC59-AB59,"")</f>
        <v>2</v>
      </c>
      <c r="AM59" s="11" t="n">
        <f aca="false">IF(COUNT(AD59,AE59)=2,AE59-AD59,"")</f>
        <v>2</v>
      </c>
      <c r="AN59" s="11" t="n">
        <f aca="false">IF(COUNT(F59,H59)=2,H59-F59,"")</f>
        <v>-0.469999999999999</v>
      </c>
      <c r="AO59" s="8" t="n">
        <f aca="false">IF(COUNT(E59,F59)=2,(F59-E59)/E59,"")</f>
        <v>0.185805422647528</v>
      </c>
      <c r="AP59" s="8" t="n">
        <f aca="false">IF(COUNT(E59,H59)=2,(H59-E59)/E59,"")</f>
        <v>0.148325358851675</v>
      </c>
      <c r="AQ59" s="8" t="str">
        <f aca="false">IF(COUNT(E59,G59)=2,(G59-E59)/E59,"")</f>
        <v/>
      </c>
    </row>
    <row r="60" customFormat="false" ht="15" hidden="false" customHeight="true" outlineLevel="0" collapsed="false">
      <c r="A60" s="9" t="s">
        <v>52</v>
      </c>
      <c r="B60" s="9" t="n">
        <v>144</v>
      </c>
      <c r="C60" s="9" t="s">
        <v>48</v>
      </c>
      <c r="D60" s="9" t="s">
        <v>52</v>
      </c>
      <c r="E60" s="10" t="n">
        <v>13.32</v>
      </c>
      <c r="F60" s="10" t="n">
        <v>14.97</v>
      </c>
      <c r="G60" s="9"/>
      <c r="H60" s="10" t="n">
        <v>15.28</v>
      </c>
      <c r="I60" s="11" t="n">
        <f aca="false">IF(COUNT(E60,F60)=2,F60-E60,"")</f>
        <v>1.65</v>
      </c>
      <c r="J60" s="11" t="n">
        <f aca="false">IF(COUNT(E60,H60)=2,H60-E60,"")</f>
        <v>1.96</v>
      </c>
      <c r="K60" s="11" t="str">
        <f aca="false">IF(COUNT(F60,G60)=2,F60-G60,"")</f>
        <v/>
      </c>
      <c r="L60" s="12" t="n">
        <v>9</v>
      </c>
      <c r="M60" s="12" t="n">
        <v>9</v>
      </c>
      <c r="N60" s="12" t="n">
        <v>9</v>
      </c>
      <c r="O60" s="12" t="n">
        <v>1</v>
      </c>
      <c r="P60" s="12" t="n">
        <v>9</v>
      </c>
      <c r="Q60" s="12" t="n">
        <v>7</v>
      </c>
      <c r="R60" s="12" t="n">
        <v>8</v>
      </c>
      <c r="S60" s="12" t="n">
        <v>7</v>
      </c>
      <c r="T60" s="12" t="n">
        <v>9</v>
      </c>
      <c r="U60" s="12" t="n">
        <v>9</v>
      </c>
      <c r="V60" s="12" t="n">
        <v>9</v>
      </c>
      <c r="W60" s="12" t="n">
        <v>8</v>
      </c>
      <c r="X60" s="12" t="n">
        <v>2</v>
      </c>
      <c r="Y60" s="12" t="n">
        <v>9</v>
      </c>
      <c r="Z60" s="9" t="s">
        <v>54</v>
      </c>
      <c r="AA60" s="9" t="s">
        <v>47</v>
      </c>
      <c r="AB60" s="12" t="n">
        <v>8</v>
      </c>
      <c r="AC60" s="12" t="n">
        <v>9</v>
      </c>
      <c r="AD60" s="12" t="n">
        <v>8</v>
      </c>
      <c r="AE60" s="12" t="n">
        <v>9</v>
      </c>
      <c r="AF60" s="12" t="n">
        <v>9</v>
      </c>
      <c r="AG60" s="12" t="n">
        <v>8</v>
      </c>
      <c r="AH60" s="11" t="n">
        <f aca="false">IF(COUNT(L60,P60)=2,P60-L60,"")</f>
        <v>0</v>
      </c>
      <c r="AI60" s="11" t="n">
        <f aca="false">IF(COUNT(M60,Q60)=2,Q60-M60,"")</f>
        <v>-2</v>
      </c>
      <c r="AJ60" s="11" t="n">
        <f aca="false">IF(COUNT(N60,R60)=2,R60-N60,"")</f>
        <v>-1</v>
      </c>
      <c r="AK60" s="11" t="n">
        <f aca="false">IF(COUNT(O60,S60)=2,S60-O60,"")</f>
        <v>6</v>
      </c>
      <c r="AL60" s="11" t="n">
        <f aca="false">IF(COUNT(AB60,AC60)=2,AC60-AB60,"")</f>
        <v>1</v>
      </c>
      <c r="AM60" s="11" t="n">
        <f aca="false">IF(COUNT(AD60,AE60)=2,AE60-AD60,"")</f>
        <v>1</v>
      </c>
      <c r="AN60" s="11" t="n">
        <f aca="false">IF(COUNT(F60,H60)=2,H60-F60,"")</f>
        <v>0.309999999999999</v>
      </c>
      <c r="AO60" s="8" t="n">
        <f aca="false">IF(COUNT(E60,F60)=2,(F60-E60)/E60,"")</f>
        <v>0.123873873873874</v>
      </c>
      <c r="AP60" s="8" t="n">
        <f aca="false">IF(COUNT(E60,H60)=2,(H60-E60)/E60,"")</f>
        <v>0.147147147147147</v>
      </c>
      <c r="AQ60" s="8" t="str">
        <f aca="false">IF(COUNT(E60,G60)=2,(G60-E60)/E60,"")</f>
        <v/>
      </c>
    </row>
    <row r="61" customFormat="false" ht="15" hidden="false" customHeight="true" outlineLevel="0" collapsed="false">
      <c r="A61" s="9" t="s">
        <v>52</v>
      </c>
      <c r="B61" s="9" t="n">
        <v>145</v>
      </c>
      <c r="C61" s="9" t="s">
        <v>44</v>
      </c>
      <c r="D61" s="9"/>
      <c r="E61" s="10" t="n">
        <v>13.88</v>
      </c>
      <c r="F61" s="10" t="n">
        <v>13.44</v>
      </c>
      <c r="G61" s="9"/>
      <c r="H61" s="10" t="n">
        <v>13.5</v>
      </c>
      <c r="I61" s="11" t="n">
        <f aca="false">IF(COUNT(E61,F61)=2,F61-E61,"")</f>
        <v>-0.440000000000001</v>
      </c>
      <c r="J61" s="11" t="n">
        <f aca="false">IF(COUNT(E61,H61)=2,H61-E61,"")</f>
        <v>-0.380000000000001</v>
      </c>
      <c r="K61" s="11" t="str">
        <f aca="false">IF(COUNT(F61,G61)=2,F61-G61,"")</f>
        <v/>
      </c>
      <c r="L61" s="12" t="n">
        <v>9</v>
      </c>
      <c r="M61" s="12" t="n">
        <v>9</v>
      </c>
      <c r="N61" s="12" t="n">
        <v>9</v>
      </c>
      <c r="O61" s="12" t="n">
        <v>1</v>
      </c>
      <c r="P61" s="12" t="n">
        <v>9</v>
      </c>
      <c r="Q61" s="12" t="n">
        <v>9</v>
      </c>
      <c r="R61" s="12" t="n">
        <v>8</v>
      </c>
      <c r="S61" s="12" t="n">
        <v>1</v>
      </c>
      <c r="T61" s="12" t="n">
        <v>8</v>
      </c>
      <c r="U61" s="12" t="n">
        <v>9</v>
      </c>
      <c r="V61" s="12" t="n">
        <v>9</v>
      </c>
      <c r="W61" s="12" t="n">
        <v>9</v>
      </c>
      <c r="X61" s="12" t="n">
        <v>1</v>
      </c>
      <c r="Y61" s="12" t="n">
        <v>7</v>
      </c>
      <c r="Z61" s="9" t="s">
        <v>54</v>
      </c>
      <c r="AA61" s="9" t="s">
        <v>47</v>
      </c>
      <c r="AB61" s="12" t="n">
        <v>7</v>
      </c>
      <c r="AC61" s="12" t="n">
        <v>8</v>
      </c>
      <c r="AD61" s="12" t="n">
        <v>6</v>
      </c>
      <c r="AE61" s="12" t="n">
        <v>8</v>
      </c>
      <c r="AF61" s="12" t="n">
        <v>9</v>
      </c>
      <c r="AG61" s="12" t="n">
        <v>8</v>
      </c>
      <c r="AH61" s="11" t="n">
        <f aca="false">IF(COUNT(L61,P61)=2,P61-L61,"")</f>
        <v>0</v>
      </c>
      <c r="AI61" s="11" t="n">
        <f aca="false">IF(COUNT(M61,Q61)=2,Q61-M61,"")</f>
        <v>0</v>
      </c>
      <c r="AJ61" s="11" t="n">
        <f aca="false">IF(COUNT(N61,R61)=2,R61-N61,"")</f>
        <v>-1</v>
      </c>
      <c r="AK61" s="11" t="n">
        <f aca="false">IF(COUNT(O61,S61)=2,S61-O61,"")</f>
        <v>0</v>
      </c>
      <c r="AL61" s="11" t="n">
        <f aca="false">IF(COUNT(AB61,AC61)=2,AC61-AB61,"")</f>
        <v>1</v>
      </c>
      <c r="AM61" s="11" t="n">
        <f aca="false">IF(COUNT(AD61,AE61)=2,AE61-AD61,"")</f>
        <v>2</v>
      </c>
      <c r="AN61" s="11" t="n">
        <f aca="false">IF(COUNT(F61,H61)=2,H61-F61,"")</f>
        <v>0.0600000000000005</v>
      </c>
      <c r="AO61" s="8" t="n">
        <f aca="false">IF(COUNT(E61,F61)=2,(F61-E61)/E61,"")</f>
        <v>-0.0317002881844381</v>
      </c>
      <c r="AP61" s="8" t="n">
        <f aca="false">IF(COUNT(E61,H61)=2,(H61-E61)/E61,"")</f>
        <v>-0.0273775216138329</v>
      </c>
      <c r="AQ61" s="8" t="str">
        <f aca="false">IF(COUNT(E61,G61)=2,(G61-E61)/E61,"")</f>
        <v/>
      </c>
    </row>
    <row r="62" customFormat="false" ht="15" hidden="false" customHeight="true" outlineLevel="0" collapsed="false">
      <c r="A62" s="9" t="s">
        <v>52</v>
      </c>
      <c r="B62" s="9" t="n">
        <v>146</v>
      </c>
      <c r="C62" s="9" t="s">
        <v>48</v>
      </c>
      <c r="D62" s="9" t="s">
        <v>57</v>
      </c>
      <c r="E62" s="10" t="n">
        <v>13.66</v>
      </c>
      <c r="F62" s="10" t="n">
        <v>13.75</v>
      </c>
      <c r="G62" s="9"/>
      <c r="H62" s="10" t="n">
        <v>14.13</v>
      </c>
      <c r="I62" s="11" t="n">
        <f aca="false">IF(COUNT(E62,F62)=2,F62-E62,"")</f>
        <v>0.0899999999999999</v>
      </c>
      <c r="J62" s="11" t="n">
        <f aca="false">IF(COUNT(E62,H62)=2,H62-E62,"")</f>
        <v>0.470000000000001</v>
      </c>
      <c r="K62" s="11" t="str">
        <f aca="false">IF(COUNT(F62,G62)=2,F62-G62,"")</f>
        <v/>
      </c>
      <c r="L62" s="12" t="n">
        <v>9</v>
      </c>
      <c r="M62" s="12" t="n">
        <v>9</v>
      </c>
      <c r="N62" s="12" t="n">
        <v>9</v>
      </c>
      <c r="O62" s="12" t="n">
        <v>2</v>
      </c>
      <c r="P62" s="12" t="n">
        <v>8</v>
      </c>
      <c r="Q62" s="12" t="n">
        <v>8</v>
      </c>
      <c r="R62" s="12" t="n">
        <v>8</v>
      </c>
      <c r="S62" s="12" t="n">
        <v>1</v>
      </c>
      <c r="T62" s="12" t="n">
        <v>7</v>
      </c>
      <c r="U62" s="12" t="n">
        <v>8</v>
      </c>
      <c r="V62" s="12" t="n">
        <v>7</v>
      </c>
      <c r="W62" s="12" t="n">
        <v>8</v>
      </c>
      <c r="X62" s="12" t="n">
        <v>7</v>
      </c>
      <c r="Y62" s="12" t="n">
        <v>7</v>
      </c>
      <c r="Z62" s="9" t="s">
        <v>46</v>
      </c>
      <c r="AA62" s="9" t="s">
        <v>47</v>
      </c>
      <c r="AB62" s="12" t="n">
        <v>6</v>
      </c>
      <c r="AC62" s="12" t="n">
        <v>6</v>
      </c>
      <c r="AD62" s="12" t="n">
        <v>7</v>
      </c>
      <c r="AE62" s="12" t="n">
        <v>7</v>
      </c>
      <c r="AF62" s="12" t="n">
        <v>7</v>
      </c>
      <c r="AG62" s="12" t="n">
        <v>5</v>
      </c>
      <c r="AH62" s="11" t="n">
        <f aca="false">IF(COUNT(L62,P62)=2,P62-L62,"")</f>
        <v>-1</v>
      </c>
      <c r="AI62" s="11" t="n">
        <f aca="false">IF(COUNT(M62,Q62)=2,Q62-M62,"")</f>
        <v>-1</v>
      </c>
      <c r="AJ62" s="11" t="n">
        <f aca="false">IF(COUNT(N62,R62)=2,R62-N62,"")</f>
        <v>-1</v>
      </c>
      <c r="AK62" s="11" t="n">
        <f aca="false">IF(COUNT(O62,S62)=2,S62-O62,"")</f>
        <v>-1</v>
      </c>
      <c r="AL62" s="11" t="n">
        <f aca="false">IF(COUNT(AB62,AC62)=2,AC62-AB62,"")</f>
        <v>0</v>
      </c>
      <c r="AM62" s="11" t="n">
        <f aca="false">IF(COUNT(AD62,AE62)=2,AE62-AD62,"")</f>
        <v>0</v>
      </c>
      <c r="AN62" s="11" t="n">
        <f aca="false">IF(COUNT(F62,H62)=2,H62-F62,"")</f>
        <v>0.380000000000001</v>
      </c>
      <c r="AO62" s="8" t="n">
        <f aca="false">IF(COUNT(E62,F62)=2,(F62-E62)/E62,"")</f>
        <v>0.00658857979502195</v>
      </c>
      <c r="AP62" s="8" t="n">
        <f aca="false">IF(COUNT(E62,H62)=2,(H62-E62)/E62,"")</f>
        <v>0.0344070278184481</v>
      </c>
      <c r="AQ62" s="8" t="str">
        <f aca="false">IF(COUNT(E62,G62)=2,(G62-E62)/E62,"")</f>
        <v/>
      </c>
    </row>
    <row r="63" customFormat="false" ht="15" hidden="false" customHeight="true" outlineLevel="0" collapsed="false">
      <c r="A63" s="9" t="s">
        <v>52</v>
      </c>
      <c r="B63" s="9" t="n">
        <v>147</v>
      </c>
      <c r="C63" s="9" t="s">
        <v>48</v>
      </c>
      <c r="D63" s="9" t="s">
        <v>53</v>
      </c>
      <c r="E63" s="10" t="n">
        <v>20.09</v>
      </c>
      <c r="F63" s="10" t="n">
        <v>18.09</v>
      </c>
      <c r="G63" s="9"/>
      <c r="H63" s="10" t="n">
        <v>18.09</v>
      </c>
      <c r="I63" s="11" t="n">
        <f aca="false">IF(COUNT(E63,F63)=2,F63-E63,"")</f>
        <v>-2</v>
      </c>
      <c r="J63" s="11" t="n">
        <f aca="false">IF(COUNT(E63,H63)=2,H63-E63,"")</f>
        <v>-2</v>
      </c>
      <c r="K63" s="11" t="str">
        <f aca="false">IF(COUNT(F63,G63)=2,F63-G63,"")</f>
        <v/>
      </c>
      <c r="L63" s="12" t="n">
        <v>7</v>
      </c>
      <c r="M63" s="12" t="n">
        <v>8</v>
      </c>
      <c r="N63" s="12" t="n">
        <v>7</v>
      </c>
      <c r="O63" s="12" t="n">
        <v>2</v>
      </c>
      <c r="P63" s="12" t="n">
        <v>8</v>
      </c>
      <c r="Q63" s="12" t="n">
        <v>9</v>
      </c>
      <c r="R63" s="12" t="n">
        <v>9</v>
      </c>
      <c r="S63" s="12" t="n">
        <v>1</v>
      </c>
      <c r="T63" s="12" t="n">
        <v>8</v>
      </c>
      <c r="U63" s="12" t="n">
        <v>8</v>
      </c>
      <c r="V63" s="12" t="n">
        <v>9</v>
      </c>
      <c r="W63" s="12" t="n">
        <v>9</v>
      </c>
      <c r="X63" s="12" t="n">
        <v>4</v>
      </c>
      <c r="Y63" s="12" t="n">
        <v>9</v>
      </c>
      <c r="Z63" s="9" t="s">
        <v>46</v>
      </c>
      <c r="AA63" s="9" t="s">
        <v>59</v>
      </c>
      <c r="AB63" s="12" t="n">
        <v>8</v>
      </c>
      <c r="AC63" s="12" t="n">
        <v>5</v>
      </c>
      <c r="AD63" s="12" t="n">
        <v>3</v>
      </c>
      <c r="AE63" s="12" t="n">
        <v>4</v>
      </c>
      <c r="AF63" s="12" t="n">
        <v>5</v>
      </c>
      <c r="AG63" s="12" t="n">
        <v>5</v>
      </c>
      <c r="AH63" s="11" t="n">
        <f aca="false">IF(COUNT(L63,P63)=2,P63-L63,"")</f>
        <v>1</v>
      </c>
      <c r="AI63" s="11" t="n">
        <f aca="false">IF(COUNT(M63,Q63)=2,Q63-M63,"")</f>
        <v>1</v>
      </c>
      <c r="AJ63" s="11" t="n">
        <f aca="false">IF(COUNT(N63,R63)=2,R63-N63,"")</f>
        <v>2</v>
      </c>
      <c r="AK63" s="11" t="n">
        <f aca="false">IF(COUNT(O63,S63)=2,S63-O63,"")</f>
        <v>-1</v>
      </c>
      <c r="AL63" s="11" t="n">
        <f aca="false">IF(COUNT(AB63,AC63)=2,AC63-AB63,"")</f>
        <v>-3</v>
      </c>
      <c r="AM63" s="11" t="n">
        <f aca="false">IF(COUNT(AD63,AE63)=2,AE63-AD63,"")</f>
        <v>1</v>
      </c>
      <c r="AN63" s="11" t="n">
        <f aca="false">IF(COUNT(F63,H63)=2,H63-F63,"")</f>
        <v>0</v>
      </c>
      <c r="AO63" s="8" t="n">
        <f aca="false">IF(COUNT(E63,F63)=2,(F63-E63)/E63,"")</f>
        <v>-0.0995520159283226</v>
      </c>
      <c r="AP63" s="8" t="n">
        <f aca="false">IF(COUNT(E63,H63)=2,(H63-E63)/E63,"")</f>
        <v>-0.0995520159283226</v>
      </c>
      <c r="AQ63" s="8" t="str">
        <f aca="false">IF(COUNT(E63,G63)=2,(G63-E63)/E63,"")</f>
        <v/>
      </c>
    </row>
    <row r="64" customFormat="false" ht="15" hidden="false" customHeight="true" outlineLevel="0" collapsed="false">
      <c r="A64" s="9" t="s">
        <v>52</v>
      </c>
      <c r="B64" s="9" t="n">
        <v>148</v>
      </c>
      <c r="C64" s="9" t="s">
        <v>48</v>
      </c>
      <c r="D64" s="9" t="s">
        <v>53</v>
      </c>
      <c r="E64" s="10" t="n">
        <v>13.75</v>
      </c>
      <c r="F64" s="10" t="n">
        <v>15.72</v>
      </c>
      <c r="G64" s="9"/>
      <c r="H64" s="10" t="n">
        <v>14.88</v>
      </c>
      <c r="I64" s="11" t="n">
        <f aca="false">IF(COUNT(E64,F64)=2,F64-E64,"")</f>
        <v>1.97</v>
      </c>
      <c r="J64" s="11" t="n">
        <f aca="false">IF(COUNT(E64,H64)=2,H64-E64,"")</f>
        <v>1.13</v>
      </c>
      <c r="K64" s="11" t="str">
        <f aca="false">IF(COUNT(F64,G64)=2,F64-G64,"")</f>
        <v/>
      </c>
      <c r="L64" s="12" t="n">
        <v>9</v>
      </c>
      <c r="M64" s="12" t="n">
        <v>8</v>
      </c>
      <c r="N64" s="12" t="n">
        <v>9</v>
      </c>
      <c r="O64" s="12" t="n">
        <v>4</v>
      </c>
      <c r="P64" s="12" t="n">
        <v>7</v>
      </c>
      <c r="Q64" s="12" t="n">
        <v>8</v>
      </c>
      <c r="R64" s="12" t="n">
        <v>6</v>
      </c>
      <c r="S64" s="12" t="n">
        <v>7</v>
      </c>
      <c r="T64" s="12" t="n">
        <v>8</v>
      </c>
      <c r="U64" s="12" t="n">
        <v>8</v>
      </c>
      <c r="V64" s="12" t="n">
        <v>8</v>
      </c>
      <c r="W64" s="12" t="n">
        <v>8</v>
      </c>
      <c r="X64" s="12" t="n">
        <v>5</v>
      </c>
      <c r="Y64" s="12" t="n">
        <v>8</v>
      </c>
      <c r="Z64" s="9" t="s">
        <v>46</v>
      </c>
      <c r="AA64" s="9" t="s">
        <v>47</v>
      </c>
      <c r="AB64" s="12" t="n">
        <v>6</v>
      </c>
      <c r="AC64" s="12" t="n">
        <v>7</v>
      </c>
      <c r="AD64" s="12" t="n">
        <v>6</v>
      </c>
      <c r="AE64" s="12" t="n">
        <v>7</v>
      </c>
      <c r="AF64" s="12" t="n">
        <v>7</v>
      </c>
      <c r="AG64" s="12" t="n">
        <v>5</v>
      </c>
      <c r="AH64" s="11" t="n">
        <f aca="false">IF(COUNT(L64,P64)=2,P64-L64,"")</f>
        <v>-2</v>
      </c>
      <c r="AI64" s="11" t="n">
        <f aca="false">IF(COUNT(M64,Q64)=2,Q64-M64,"")</f>
        <v>0</v>
      </c>
      <c r="AJ64" s="11" t="n">
        <f aca="false">IF(COUNT(N64,R64)=2,R64-N64,"")</f>
        <v>-3</v>
      </c>
      <c r="AK64" s="11" t="n">
        <f aca="false">IF(COUNT(O64,S64)=2,S64-O64,"")</f>
        <v>3</v>
      </c>
      <c r="AL64" s="11" t="n">
        <f aca="false">IF(COUNT(AB64,AC64)=2,AC64-AB64,"")</f>
        <v>1</v>
      </c>
      <c r="AM64" s="11" t="n">
        <f aca="false">IF(COUNT(AD64,AE64)=2,AE64-AD64,"")</f>
        <v>1</v>
      </c>
      <c r="AN64" s="11" t="n">
        <f aca="false">IF(COUNT(F64,H64)=2,H64-F64,"")</f>
        <v>-0.84</v>
      </c>
      <c r="AO64" s="8" t="n">
        <f aca="false">IF(COUNT(E64,F64)=2,(F64-E64)/E64,"")</f>
        <v>0.143272727272727</v>
      </c>
      <c r="AP64" s="8" t="n">
        <f aca="false">IF(COUNT(E64,H64)=2,(H64-E64)/E64,"")</f>
        <v>0.0821818181818182</v>
      </c>
      <c r="AQ64" s="8" t="str">
        <f aca="false">IF(COUNT(E64,G64)=2,(G64-E64)/E64,"")</f>
        <v/>
      </c>
    </row>
    <row r="65" customFormat="false" ht="15" hidden="false" customHeight="true" outlineLevel="0" collapsed="false">
      <c r="A65" s="9" t="s">
        <v>52</v>
      </c>
      <c r="B65" s="9" t="n">
        <v>149</v>
      </c>
      <c r="C65" s="9" t="s">
        <v>44</v>
      </c>
      <c r="D65" s="9"/>
      <c r="E65" s="10" t="n">
        <v>13.4</v>
      </c>
      <c r="F65" s="10" t="n">
        <v>14.81</v>
      </c>
      <c r="G65" s="9"/>
      <c r="H65" s="10" t="n">
        <v>16.07</v>
      </c>
      <c r="I65" s="11" t="n">
        <f aca="false">IF(COUNT(E65,F65)=2,F65-E65,"")</f>
        <v>1.41</v>
      </c>
      <c r="J65" s="11" t="n">
        <f aca="false">IF(COUNT(E65,H65)=2,H65-E65,"")</f>
        <v>2.67</v>
      </c>
      <c r="K65" s="11" t="str">
        <f aca="false">IF(COUNT(F65,G65)=2,F65-G65,"")</f>
        <v/>
      </c>
      <c r="L65" s="12" t="n">
        <v>9</v>
      </c>
      <c r="M65" s="12" t="n">
        <v>9</v>
      </c>
      <c r="N65" s="12" t="n">
        <v>9</v>
      </c>
      <c r="O65" s="12" t="n">
        <v>1</v>
      </c>
      <c r="P65" s="12" t="n">
        <v>8</v>
      </c>
      <c r="Q65" s="12" t="n">
        <v>8</v>
      </c>
      <c r="R65" s="12" t="n">
        <v>9</v>
      </c>
      <c r="S65" s="12" t="n">
        <v>1</v>
      </c>
      <c r="T65" s="12" t="n">
        <v>8</v>
      </c>
      <c r="U65" s="12" t="n">
        <v>7</v>
      </c>
      <c r="V65" s="12" t="n">
        <v>6</v>
      </c>
      <c r="W65" s="12" t="n">
        <v>5</v>
      </c>
      <c r="X65" s="12" t="n">
        <v>7</v>
      </c>
      <c r="Y65" s="12" t="n">
        <v>7</v>
      </c>
      <c r="Z65" s="9"/>
      <c r="AA65" s="9"/>
      <c r="AB65" s="9"/>
      <c r="AC65" s="9"/>
      <c r="AD65" s="9"/>
      <c r="AE65" s="9"/>
      <c r="AF65" s="9"/>
      <c r="AG65" s="9"/>
      <c r="AH65" s="11" t="n">
        <f aca="false">IF(COUNT(L65,P65)=2,P65-L65,"")</f>
        <v>-1</v>
      </c>
      <c r="AI65" s="11" t="n">
        <f aca="false">IF(COUNT(M65,Q65)=2,Q65-M65,"")</f>
        <v>-1</v>
      </c>
      <c r="AJ65" s="11" t="n">
        <f aca="false">IF(COUNT(N65,R65)=2,R65-N65,"")</f>
        <v>0</v>
      </c>
      <c r="AK65" s="11" t="n">
        <f aca="false">IF(COUNT(O65,S65)=2,S65-O65,"")</f>
        <v>0</v>
      </c>
      <c r="AL65" s="11" t="str">
        <f aca="false">IF(COUNT(AB65,AC65)=2,AC65-AB65,"")</f>
        <v/>
      </c>
      <c r="AM65" s="11" t="str">
        <f aca="false">IF(COUNT(AD65,AE65)=2,AE65-AD65,"")</f>
        <v/>
      </c>
      <c r="AN65" s="11" t="n">
        <f aca="false">IF(COUNT(F65,H65)=2,H65-F65,"")</f>
        <v>1.26</v>
      </c>
      <c r="AO65" s="8" t="n">
        <f aca="false">IF(COUNT(E65,F65)=2,(F65-E65)/E65,"")</f>
        <v>0.105223880597015</v>
      </c>
      <c r="AP65" s="8" t="n">
        <f aca="false">IF(COUNT(E65,H65)=2,(H65-E65)/E65,"")</f>
        <v>0.199253731343284</v>
      </c>
      <c r="AQ65" s="8" t="str">
        <f aca="false">IF(COUNT(E65,G65)=2,(G65-E65)/E65,"")</f>
        <v/>
      </c>
    </row>
    <row r="66" customFormat="false" ht="15" hidden="false" customHeight="true" outlineLevel="0" collapsed="false">
      <c r="A66" s="9" t="s">
        <v>52</v>
      </c>
      <c r="B66" s="9" t="n">
        <v>150</v>
      </c>
      <c r="C66" s="9" t="s">
        <v>48</v>
      </c>
      <c r="D66" s="9" t="s">
        <v>55</v>
      </c>
      <c r="E66" s="10" t="n">
        <v>14.84</v>
      </c>
      <c r="F66" s="10" t="n">
        <v>14.72</v>
      </c>
      <c r="G66" s="9"/>
      <c r="H66" s="10" t="n">
        <v>16.35</v>
      </c>
      <c r="I66" s="11" t="n">
        <f aca="false">IF(COUNT(E66,F66)=2,F66-E66,"")</f>
        <v>-0.119999999999999</v>
      </c>
      <c r="J66" s="11" t="n">
        <f aca="false">IF(COUNT(E66,H66)=2,H66-E66,"")</f>
        <v>1.51</v>
      </c>
      <c r="K66" s="11" t="str">
        <f aca="false">IF(COUNT(F66,G66)=2,F66-G66,"")</f>
        <v/>
      </c>
      <c r="L66" s="12" t="n">
        <v>9</v>
      </c>
      <c r="M66" s="12" t="n">
        <v>9</v>
      </c>
      <c r="N66" s="12" t="n">
        <v>9</v>
      </c>
      <c r="O66" s="12" t="n">
        <v>2</v>
      </c>
      <c r="P66" s="12" t="n">
        <v>7</v>
      </c>
      <c r="Q66" s="12" t="n">
        <v>8</v>
      </c>
      <c r="R66" s="12" t="n">
        <v>9</v>
      </c>
      <c r="S66" s="12" t="n">
        <v>1</v>
      </c>
      <c r="T66" s="12" t="n">
        <v>7</v>
      </c>
      <c r="U66" s="12" t="n">
        <v>8</v>
      </c>
      <c r="V66" s="12" t="n">
        <v>9</v>
      </c>
      <c r="W66" s="12" t="n">
        <v>9</v>
      </c>
      <c r="X66" s="12" t="n">
        <v>2</v>
      </c>
      <c r="Y66" s="12" t="n">
        <v>9</v>
      </c>
      <c r="Z66" s="9" t="s">
        <v>54</v>
      </c>
      <c r="AA66" s="9" t="s">
        <v>59</v>
      </c>
      <c r="AB66" s="12" t="n">
        <v>8</v>
      </c>
      <c r="AC66" s="12" t="n">
        <v>6</v>
      </c>
      <c r="AD66" s="12" t="n">
        <v>8</v>
      </c>
      <c r="AE66" s="12" t="n">
        <v>8</v>
      </c>
      <c r="AF66" s="12" t="n">
        <v>6</v>
      </c>
      <c r="AG66" s="12" t="n">
        <v>3</v>
      </c>
      <c r="AH66" s="11" t="n">
        <f aca="false">IF(COUNT(L66,P66)=2,P66-L66,"")</f>
        <v>-2</v>
      </c>
      <c r="AI66" s="11" t="n">
        <f aca="false">IF(COUNT(M66,Q66)=2,Q66-M66,"")</f>
        <v>-1</v>
      </c>
      <c r="AJ66" s="11" t="n">
        <f aca="false">IF(COUNT(N66,R66)=2,R66-N66,"")</f>
        <v>0</v>
      </c>
      <c r="AK66" s="11" t="n">
        <f aca="false">IF(COUNT(O66,S66)=2,S66-O66,"")</f>
        <v>-1</v>
      </c>
      <c r="AL66" s="11" t="n">
        <f aca="false">IF(COUNT(AB66,AC66)=2,AC66-AB66,"")</f>
        <v>-2</v>
      </c>
      <c r="AM66" s="11" t="n">
        <f aca="false">IF(COUNT(AD66,AE66)=2,AE66-AD66,"")</f>
        <v>0</v>
      </c>
      <c r="AN66" s="11" t="n">
        <f aca="false">IF(COUNT(F66,H66)=2,H66-F66,"")</f>
        <v>1.63</v>
      </c>
      <c r="AO66" s="8" t="n">
        <f aca="false">IF(COUNT(E66,F66)=2,(F66-E66)/E66,"")</f>
        <v>-0.00808625336927218</v>
      </c>
      <c r="AP66" s="8" t="n">
        <f aca="false">IF(COUNT(E66,H66)=2,(H66-E66)/E66,"")</f>
        <v>0.101752021563342</v>
      </c>
      <c r="AQ66" s="8" t="str">
        <f aca="false">IF(COUNT(E66,G66)=2,(G66-E66)/E66,"")</f>
        <v/>
      </c>
    </row>
    <row r="67" customFormat="false" ht="15" hidden="false" customHeight="true" outlineLevel="0" collapsed="false">
      <c r="A67" s="9" t="s">
        <v>52</v>
      </c>
      <c r="B67" s="9" t="n">
        <v>151</v>
      </c>
      <c r="C67" s="9" t="s">
        <v>44</v>
      </c>
      <c r="D67" s="9" t="s">
        <v>53</v>
      </c>
      <c r="E67" s="10" t="n">
        <v>22.16</v>
      </c>
      <c r="F67" s="10" t="n">
        <v>20.75</v>
      </c>
      <c r="G67" s="9"/>
      <c r="H67" s="10" t="n">
        <v>22.5</v>
      </c>
      <c r="I67" s="11" t="n">
        <f aca="false">IF(COUNT(E67,F67)=2,F67-E67,"")</f>
        <v>-1.41</v>
      </c>
      <c r="J67" s="11" t="n">
        <f aca="false">IF(COUNT(E67,H67)=2,H67-E67,"")</f>
        <v>0.34</v>
      </c>
      <c r="K67" s="11" t="str">
        <f aca="false">IF(COUNT(F67,G67)=2,F67-G67,"")</f>
        <v/>
      </c>
      <c r="L67" s="12" t="n">
        <v>9</v>
      </c>
      <c r="M67" s="12" t="n">
        <v>9</v>
      </c>
      <c r="N67" s="12" t="n">
        <v>9</v>
      </c>
      <c r="O67" s="12" t="n">
        <v>1</v>
      </c>
      <c r="P67" s="12" t="n">
        <v>9</v>
      </c>
      <c r="Q67" s="12" t="n">
        <v>9</v>
      </c>
      <c r="R67" s="12" t="n">
        <v>9</v>
      </c>
      <c r="S67" s="12" t="n">
        <v>1</v>
      </c>
      <c r="T67" s="12" t="n">
        <v>9</v>
      </c>
      <c r="U67" s="12" t="n">
        <v>9</v>
      </c>
      <c r="V67" s="12" t="n">
        <v>9</v>
      </c>
      <c r="W67" s="12" t="n">
        <v>7</v>
      </c>
      <c r="X67" s="12" t="n">
        <v>8</v>
      </c>
      <c r="Y67" s="12" t="n">
        <v>9</v>
      </c>
      <c r="Z67" s="9" t="s">
        <v>46</v>
      </c>
      <c r="AA67" s="9" t="s">
        <v>59</v>
      </c>
      <c r="AB67" s="12" t="n">
        <v>9</v>
      </c>
      <c r="AC67" s="12" t="n">
        <v>8</v>
      </c>
      <c r="AD67" s="12" t="n">
        <v>9</v>
      </c>
      <c r="AE67" s="12" t="n">
        <v>8</v>
      </c>
      <c r="AF67" s="12" t="n">
        <v>7</v>
      </c>
      <c r="AG67" s="12" t="n">
        <v>6</v>
      </c>
      <c r="AH67" s="11" t="n">
        <f aca="false">IF(COUNT(L67,P67)=2,P67-L67,"")</f>
        <v>0</v>
      </c>
      <c r="AI67" s="11" t="n">
        <f aca="false">IF(COUNT(M67,Q67)=2,Q67-M67,"")</f>
        <v>0</v>
      </c>
      <c r="AJ67" s="11" t="n">
        <f aca="false">IF(COUNT(N67,R67)=2,R67-N67,"")</f>
        <v>0</v>
      </c>
      <c r="AK67" s="11" t="n">
        <f aca="false">IF(COUNT(O67,S67)=2,S67-O67,"")</f>
        <v>0</v>
      </c>
      <c r="AL67" s="11" t="n">
        <f aca="false">IF(COUNT(AB67,AC67)=2,AC67-AB67,"")</f>
        <v>-1</v>
      </c>
      <c r="AM67" s="11" t="n">
        <f aca="false">IF(COUNT(AD67,AE67)=2,AE67-AD67,"")</f>
        <v>-1</v>
      </c>
      <c r="AN67" s="11" t="n">
        <f aca="false">IF(COUNT(F67,H67)=2,H67-F67,"")</f>
        <v>1.75</v>
      </c>
      <c r="AO67" s="8" t="n">
        <f aca="false">IF(COUNT(E67,F67)=2,(F67-E67)/E67,"")</f>
        <v>-0.0636281588447654</v>
      </c>
      <c r="AP67" s="8" t="n">
        <f aca="false">IF(COUNT(E67,H67)=2,(H67-E67)/E67,"")</f>
        <v>0.0153429602888087</v>
      </c>
      <c r="AQ67" s="8" t="str">
        <f aca="false">IF(COUNT(E67,G67)=2,(G67-E67)/E67,"")</f>
        <v/>
      </c>
    </row>
    <row r="68" customFormat="false" ht="15" hidden="false" customHeight="true" outlineLevel="0" collapsed="false">
      <c r="A68" s="9" t="s">
        <v>52</v>
      </c>
      <c r="B68" s="9" t="n">
        <v>152</v>
      </c>
      <c r="C68" s="9" t="s">
        <v>44</v>
      </c>
      <c r="D68" s="9" t="s">
        <v>58</v>
      </c>
      <c r="E68" s="10" t="n">
        <v>16.78</v>
      </c>
      <c r="F68" s="10" t="n">
        <v>18.28</v>
      </c>
      <c r="G68" s="9"/>
      <c r="H68" s="10" t="n">
        <v>17.47</v>
      </c>
      <c r="I68" s="11" t="n">
        <f aca="false">IF(COUNT(E68,F68)=2,F68-E68,"")</f>
        <v>1.5</v>
      </c>
      <c r="J68" s="11" t="n">
        <f aca="false">IF(COUNT(E68,H68)=2,H68-E68,"")</f>
        <v>0.689999999999998</v>
      </c>
      <c r="K68" s="11" t="str">
        <f aca="false">IF(COUNT(F68,G68)=2,F68-G68,"")</f>
        <v/>
      </c>
      <c r="L68" s="12" t="n">
        <v>9</v>
      </c>
      <c r="M68" s="12" t="n">
        <v>9</v>
      </c>
      <c r="N68" s="12" t="n">
        <v>9</v>
      </c>
      <c r="O68" s="12" t="n">
        <v>1</v>
      </c>
      <c r="P68" s="12" t="n">
        <v>7</v>
      </c>
      <c r="Q68" s="12" t="n">
        <v>9</v>
      </c>
      <c r="R68" s="12" t="n">
        <v>7</v>
      </c>
      <c r="S68" s="12" t="n">
        <v>7</v>
      </c>
      <c r="T68" s="12" t="n">
        <v>9</v>
      </c>
      <c r="U68" s="12" t="n">
        <v>8</v>
      </c>
      <c r="V68" s="12" t="n">
        <v>9</v>
      </c>
      <c r="W68" s="12" t="n">
        <v>8</v>
      </c>
      <c r="X68" s="12" t="n">
        <v>2</v>
      </c>
      <c r="Y68" s="12" t="n">
        <v>9</v>
      </c>
      <c r="Z68" s="9" t="s">
        <v>46</v>
      </c>
      <c r="AA68" s="9" t="s">
        <v>47</v>
      </c>
      <c r="AB68" s="12" t="n">
        <v>8</v>
      </c>
      <c r="AC68" s="12" t="n">
        <v>9</v>
      </c>
      <c r="AD68" s="12" t="n">
        <v>7</v>
      </c>
      <c r="AE68" s="12" t="n">
        <v>8</v>
      </c>
      <c r="AF68" s="12" t="n">
        <v>8</v>
      </c>
      <c r="AG68" s="12" t="n">
        <v>8</v>
      </c>
      <c r="AH68" s="11" t="n">
        <f aca="false">IF(COUNT(L68,P68)=2,P68-L68,"")</f>
        <v>-2</v>
      </c>
      <c r="AI68" s="11" t="n">
        <f aca="false">IF(COUNT(M68,Q68)=2,Q68-M68,"")</f>
        <v>0</v>
      </c>
      <c r="AJ68" s="11" t="n">
        <f aca="false">IF(COUNT(N68,R68)=2,R68-N68,"")</f>
        <v>-2</v>
      </c>
      <c r="AK68" s="11" t="n">
        <f aca="false">IF(COUNT(O68,S68)=2,S68-O68,"")</f>
        <v>6</v>
      </c>
      <c r="AL68" s="11" t="n">
        <f aca="false">IF(COUNT(AB68,AC68)=2,AC68-AB68,"")</f>
        <v>1</v>
      </c>
      <c r="AM68" s="11" t="n">
        <f aca="false">IF(COUNT(AD68,AE68)=2,AE68-AD68,"")</f>
        <v>1</v>
      </c>
      <c r="AN68" s="11" t="n">
        <f aca="false">IF(COUNT(F68,H68)=2,H68-F68,"")</f>
        <v>-0.810000000000002</v>
      </c>
      <c r="AO68" s="8" t="n">
        <f aca="false">IF(COUNT(E68,F68)=2,(F68-E68)/E68,"")</f>
        <v>0.0893921334922527</v>
      </c>
      <c r="AP68" s="8" t="n">
        <f aca="false">IF(COUNT(E68,H68)=2,(H68-E68)/E68,"")</f>
        <v>0.0411203814064361</v>
      </c>
      <c r="AQ68" s="8" t="str">
        <f aca="false">IF(COUNT(E68,G68)=2,(G68-E68)/E68,"")</f>
        <v/>
      </c>
    </row>
    <row r="69" customFormat="false" ht="15" hidden="false" customHeight="true" outlineLevel="0" collapsed="false">
      <c r="A69" s="9" t="s">
        <v>52</v>
      </c>
      <c r="B69" s="9" t="n">
        <v>153</v>
      </c>
      <c r="C69" s="9" t="s">
        <v>48</v>
      </c>
      <c r="D69" s="9" t="s">
        <v>60</v>
      </c>
      <c r="E69" s="10" t="n">
        <v>13.75</v>
      </c>
      <c r="F69" s="10" t="n">
        <v>14.34</v>
      </c>
      <c r="G69" s="9"/>
      <c r="H69" s="10" t="n">
        <v>15.94</v>
      </c>
      <c r="I69" s="11" t="n">
        <f aca="false">IF(COUNT(E69,F69)=2,F69-E69,"")</f>
        <v>0.59</v>
      </c>
      <c r="J69" s="11" t="n">
        <f aca="false">IF(COUNT(E69,H69)=2,H69-E69,"")</f>
        <v>2.19</v>
      </c>
      <c r="K69" s="11" t="str">
        <f aca="false">IF(COUNT(F69,G69)=2,F69-G69,"")</f>
        <v/>
      </c>
      <c r="L69" s="12" t="n">
        <v>8</v>
      </c>
      <c r="M69" s="12" t="n">
        <v>8</v>
      </c>
      <c r="N69" s="12" t="n">
        <v>8</v>
      </c>
      <c r="O69" s="12" t="n">
        <v>3</v>
      </c>
      <c r="P69" s="12" t="n">
        <v>7</v>
      </c>
      <c r="Q69" s="12" t="n">
        <v>7</v>
      </c>
      <c r="R69" s="12" t="n">
        <v>7</v>
      </c>
      <c r="S69" s="12" t="n">
        <v>5</v>
      </c>
      <c r="T69" s="12" t="n">
        <v>7</v>
      </c>
      <c r="U69" s="12" t="n">
        <v>5</v>
      </c>
      <c r="V69" s="12" t="n">
        <v>6</v>
      </c>
      <c r="W69" s="12" t="n">
        <v>4</v>
      </c>
      <c r="X69" s="12" t="n">
        <v>7</v>
      </c>
      <c r="Y69" s="12" t="n">
        <v>6</v>
      </c>
      <c r="Z69" s="9" t="s">
        <v>54</v>
      </c>
      <c r="AA69" s="9" t="s">
        <v>51</v>
      </c>
      <c r="AB69" s="12" t="n">
        <v>7</v>
      </c>
      <c r="AC69" s="12" t="n">
        <v>6</v>
      </c>
      <c r="AD69" s="12" t="n">
        <v>7</v>
      </c>
      <c r="AE69" s="12" t="n">
        <v>5</v>
      </c>
      <c r="AF69" s="12" t="n">
        <v>7</v>
      </c>
      <c r="AG69" s="12" t="n">
        <v>6</v>
      </c>
      <c r="AH69" s="11" t="n">
        <f aca="false">IF(COUNT(L69,P69)=2,P69-L69,"")</f>
        <v>-1</v>
      </c>
      <c r="AI69" s="11" t="n">
        <f aca="false">IF(COUNT(M69,Q69)=2,Q69-M69,"")</f>
        <v>-1</v>
      </c>
      <c r="AJ69" s="11" t="n">
        <f aca="false">IF(COUNT(N69,R69)=2,R69-N69,"")</f>
        <v>-1</v>
      </c>
      <c r="AK69" s="11" t="n">
        <f aca="false">IF(COUNT(O69,S69)=2,S69-O69,"")</f>
        <v>2</v>
      </c>
      <c r="AL69" s="11" t="n">
        <f aca="false">IF(COUNT(AB69,AC69)=2,AC69-AB69,"")</f>
        <v>-1</v>
      </c>
      <c r="AM69" s="11" t="n">
        <f aca="false">IF(COUNT(AD69,AE69)=2,AE69-AD69,"")</f>
        <v>-2</v>
      </c>
      <c r="AN69" s="11" t="n">
        <f aca="false">IF(COUNT(F69,H69)=2,H69-F69,"")</f>
        <v>1.6</v>
      </c>
      <c r="AO69" s="8" t="n">
        <f aca="false">IF(COUNT(E69,F69)=2,(F69-E69)/E69,"")</f>
        <v>0.0429090909090909</v>
      </c>
      <c r="AP69" s="8" t="n">
        <f aca="false">IF(COUNT(E69,H69)=2,(H69-E69)/E69,"")</f>
        <v>0.159272727272727</v>
      </c>
      <c r="AQ69" s="8" t="str">
        <f aca="false">IF(COUNT(E69,G69)=2,(G69-E69)/E69,"")</f>
        <v/>
      </c>
    </row>
    <row r="70" customFormat="false" ht="15" hidden="false" customHeight="true" outlineLevel="0" collapsed="false">
      <c r="A70" s="9" t="s">
        <v>52</v>
      </c>
      <c r="B70" s="9" t="n">
        <v>154</v>
      </c>
      <c r="C70" s="9" t="s">
        <v>48</v>
      </c>
      <c r="D70" s="9" t="s">
        <v>55</v>
      </c>
      <c r="E70" s="10" t="n">
        <v>13.04</v>
      </c>
      <c r="F70" s="9"/>
      <c r="G70" s="9"/>
      <c r="H70" s="10" t="n">
        <v>16.63</v>
      </c>
      <c r="I70" s="11" t="str">
        <f aca="false">IF(COUNT(E70,F70)=2,F70-E70,"")</f>
        <v/>
      </c>
      <c r="J70" s="11" t="n">
        <f aca="false">IF(COUNT(E70,H70)=2,H70-E70,"")</f>
        <v>3.59</v>
      </c>
      <c r="K70" s="11" t="str">
        <f aca="false">IF(COUNT(F70,G70)=2,F70-G70,"")</f>
        <v/>
      </c>
      <c r="L70" s="12" t="n">
        <v>9</v>
      </c>
      <c r="M70" s="12" t="n">
        <v>9</v>
      </c>
      <c r="N70" s="12" t="n">
        <v>8</v>
      </c>
      <c r="O70" s="12" t="n">
        <v>2</v>
      </c>
      <c r="P70" s="12" t="n">
        <v>1</v>
      </c>
      <c r="Q70" s="12" t="n">
        <v>1</v>
      </c>
      <c r="R70" s="12" t="n">
        <v>1</v>
      </c>
      <c r="S70" s="12" t="n">
        <v>1</v>
      </c>
      <c r="T70" s="12" t="n">
        <v>1</v>
      </c>
      <c r="U70" s="12" t="n">
        <v>7</v>
      </c>
      <c r="V70" s="12" t="n">
        <v>6</v>
      </c>
      <c r="W70" s="12" t="n">
        <v>7</v>
      </c>
      <c r="X70" s="12" t="n">
        <v>4</v>
      </c>
      <c r="Y70" s="12" t="n">
        <v>7</v>
      </c>
      <c r="Z70" s="9" t="s">
        <v>54</v>
      </c>
      <c r="AA70" s="9" t="s">
        <v>47</v>
      </c>
      <c r="AB70" s="12" t="n">
        <v>4</v>
      </c>
      <c r="AC70" s="12" t="n">
        <v>7</v>
      </c>
      <c r="AD70" s="12" t="n">
        <v>7</v>
      </c>
      <c r="AE70" s="12" t="n">
        <v>3</v>
      </c>
      <c r="AF70" s="12" t="n">
        <v>7</v>
      </c>
      <c r="AG70" s="12" t="n">
        <v>6</v>
      </c>
      <c r="AH70" s="11" t="n">
        <f aca="false">IF(COUNT(L70,P70)=2,P70-L70,"")</f>
        <v>-8</v>
      </c>
      <c r="AI70" s="11" t="n">
        <f aca="false">IF(COUNT(M70,Q70)=2,Q70-M70,"")</f>
        <v>-8</v>
      </c>
      <c r="AJ70" s="11" t="n">
        <f aca="false">IF(COUNT(N70,R70)=2,R70-N70,"")</f>
        <v>-7</v>
      </c>
      <c r="AK70" s="11" t="n">
        <f aca="false">IF(COUNT(O70,S70)=2,S70-O70,"")</f>
        <v>-1</v>
      </c>
      <c r="AL70" s="11" t="n">
        <f aca="false">IF(COUNT(AB70,AC70)=2,AC70-AB70,"")</f>
        <v>3</v>
      </c>
      <c r="AM70" s="11" t="n">
        <f aca="false">IF(COUNT(AD70,AE70)=2,AE70-AD70,"")</f>
        <v>-4</v>
      </c>
      <c r="AN70" s="11" t="str">
        <f aca="false">IF(COUNT(F70,H70)=2,H70-F70,"")</f>
        <v/>
      </c>
      <c r="AO70" s="8" t="str">
        <f aca="false">IF(COUNT(E70,F70)=2,(F70-E70)/E70,"")</f>
        <v/>
      </c>
      <c r="AP70" s="8" t="n">
        <f aca="false">IF(COUNT(E70,H70)=2,(H70-E70)/E70,"")</f>
        <v>0.275306748466258</v>
      </c>
      <c r="AQ70" s="8" t="str">
        <f aca="false">IF(COUNT(E70,G70)=2,(G70-E70)/E70,"")</f>
        <v/>
      </c>
    </row>
    <row r="71" customFormat="false" ht="15" hidden="false" customHeight="true" outlineLevel="0" collapsed="false">
      <c r="A71" s="9" t="s">
        <v>52</v>
      </c>
      <c r="B71" s="9" t="n">
        <v>155</v>
      </c>
      <c r="C71" s="9" t="s">
        <v>48</v>
      </c>
      <c r="D71" s="9" t="s">
        <v>60</v>
      </c>
      <c r="E71" s="10" t="n">
        <v>16.64</v>
      </c>
      <c r="F71" s="10" t="n">
        <v>15.28</v>
      </c>
      <c r="G71" s="9"/>
      <c r="H71" s="10" t="n">
        <v>16.53</v>
      </c>
      <c r="I71" s="11" t="n">
        <f aca="false">IF(COUNT(E71,F71)=2,F71-E71,"")</f>
        <v>-1.36</v>
      </c>
      <c r="J71" s="11" t="n">
        <f aca="false">IF(COUNT(E71,H71)=2,H71-E71,"")</f>
        <v>-0.109999999999999</v>
      </c>
      <c r="K71" s="11" t="str">
        <f aca="false">IF(COUNT(F71,G71)=2,F71-G71,"")</f>
        <v/>
      </c>
      <c r="L71" s="12" t="n">
        <v>9</v>
      </c>
      <c r="M71" s="12" t="n">
        <v>9</v>
      </c>
      <c r="N71" s="12" t="n">
        <v>9</v>
      </c>
      <c r="O71" s="12" t="n">
        <v>8</v>
      </c>
      <c r="P71" s="12" t="n">
        <v>8</v>
      </c>
      <c r="Q71" s="12" t="n">
        <v>7</v>
      </c>
      <c r="R71" s="12" t="n">
        <v>8</v>
      </c>
      <c r="S71" s="12" t="n">
        <v>2</v>
      </c>
      <c r="T71" s="12" t="n">
        <v>8</v>
      </c>
      <c r="U71" s="12" t="n">
        <v>7</v>
      </c>
      <c r="V71" s="12" t="n">
        <v>8</v>
      </c>
      <c r="W71" s="12" t="n">
        <v>8</v>
      </c>
      <c r="X71" s="12" t="n">
        <v>2</v>
      </c>
      <c r="Y71" s="12" t="n">
        <v>7</v>
      </c>
      <c r="Z71" s="9" t="s">
        <v>46</v>
      </c>
      <c r="AA71" s="9" t="s">
        <v>47</v>
      </c>
      <c r="AB71" s="12" t="n">
        <v>7</v>
      </c>
      <c r="AC71" s="12" t="n">
        <v>8</v>
      </c>
      <c r="AD71" s="12" t="n">
        <v>7</v>
      </c>
      <c r="AE71" s="12" t="n">
        <v>8</v>
      </c>
      <c r="AF71" s="12" t="n">
        <v>9</v>
      </c>
      <c r="AG71" s="12" t="n">
        <v>8</v>
      </c>
      <c r="AH71" s="11" t="n">
        <f aca="false">IF(COUNT(L71,P71)=2,P71-L71,"")</f>
        <v>-1</v>
      </c>
      <c r="AI71" s="11" t="n">
        <f aca="false">IF(COUNT(M71,Q71)=2,Q71-M71,"")</f>
        <v>-2</v>
      </c>
      <c r="AJ71" s="11" t="n">
        <f aca="false">IF(COUNT(N71,R71)=2,R71-N71,"")</f>
        <v>-1</v>
      </c>
      <c r="AK71" s="11" t="n">
        <f aca="false">IF(COUNT(O71,S71)=2,S71-O71,"")</f>
        <v>-6</v>
      </c>
      <c r="AL71" s="11" t="n">
        <f aca="false">IF(COUNT(AB71,AC71)=2,AC71-AB71,"")</f>
        <v>1</v>
      </c>
      <c r="AM71" s="11" t="n">
        <f aca="false">IF(COUNT(AD71,AE71)=2,AE71-AD71,"")</f>
        <v>1</v>
      </c>
      <c r="AN71" s="11" t="n">
        <f aca="false">IF(COUNT(F71,H71)=2,H71-F71,"")</f>
        <v>1.25</v>
      </c>
      <c r="AO71" s="8" t="n">
        <f aca="false">IF(COUNT(E71,F71)=2,(F71-E71)/E71,"")</f>
        <v>-0.0817307692307693</v>
      </c>
      <c r="AP71" s="8" t="n">
        <f aca="false">IF(COUNT(E71,H71)=2,(H71-E71)/E71,"")</f>
        <v>-0.00661057692307689</v>
      </c>
      <c r="AQ71" s="8" t="str">
        <f aca="false">IF(COUNT(E71,G71)=2,(G71-E71)/E71,"")</f>
        <v/>
      </c>
    </row>
    <row r="72" customFormat="false" ht="15" hidden="false" customHeight="true" outlineLevel="0" collapsed="false">
      <c r="A72" s="9" t="s">
        <v>52</v>
      </c>
      <c r="B72" s="9" t="n">
        <v>156</v>
      </c>
      <c r="C72" s="9" t="s">
        <v>48</v>
      </c>
      <c r="D72" s="9" t="s">
        <v>52</v>
      </c>
      <c r="E72" s="10" t="n">
        <v>15.96</v>
      </c>
      <c r="F72" s="10" t="n">
        <v>21.15</v>
      </c>
      <c r="G72" s="9"/>
      <c r="H72" s="10" t="n">
        <v>17.35</v>
      </c>
      <c r="I72" s="11" t="n">
        <f aca="false">IF(COUNT(E72,F72)=2,F72-E72,"")</f>
        <v>5.19</v>
      </c>
      <c r="J72" s="11" t="n">
        <f aca="false">IF(COUNT(E72,H72)=2,H72-E72,"")</f>
        <v>1.39</v>
      </c>
      <c r="K72" s="11" t="str">
        <f aca="false">IF(COUNT(F72,G72)=2,F72-G72,"")</f>
        <v/>
      </c>
      <c r="L72" s="12" t="n">
        <v>8</v>
      </c>
      <c r="M72" s="12" t="n">
        <v>9</v>
      </c>
      <c r="N72" s="12" t="n">
        <v>8</v>
      </c>
      <c r="O72" s="12" t="n">
        <v>2</v>
      </c>
      <c r="P72" s="12" t="n">
        <v>4</v>
      </c>
      <c r="Q72" s="12" t="n">
        <v>6</v>
      </c>
      <c r="R72" s="12" t="n">
        <v>3</v>
      </c>
      <c r="S72" s="12" t="n">
        <v>7</v>
      </c>
      <c r="T72" s="12" t="n">
        <v>5</v>
      </c>
      <c r="U72" s="12" t="n">
        <v>6</v>
      </c>
      <c r="V72" s="12" t="n">
        <v>7</v>
      </c>
      <c r="W72" s="12" t="n">
        <v>7</v>
      </c>
      <c r="X72" s="12" t="n">
        <v>3</v>
      </c>
      <c r="Y72" s="12" t="n">
        <v>7</v>
      </c>
      <c r="Z72" s="9" t="s">
        <v>54</v>
      </c>
      <c r="AA72" s="9" t="s">
        <v>47</v>
      </c>
      <c r="AB72" s="12" t="n">
        <v>5</v>
      </c>
      <c r="AC72" s="12" t="n">
        <v>7</v>
      </c>
      <c r="AD72" s="12" t="n">
        <v>4</v>
      </c>
      <c r="AE72" s="12" t="n">
        <v>7</v>
      </c>
      <c r="AF72" s="12" t="n">
        <v>7</v>
      </c>
      <c r="AG72" s="12" t="n">
        <v>4</v>
      </c>
      <c r="AH72" s="11" t="n">
        <f aca="false">IF(COUNT(L72,P72)=2,P72-L72,"")</f>
        <v>-4</v>
      </c>
      <c r="AI72" s="11" t="n">
        <f aca="false">IF(COUNT(M72,Q72)=2,Q72-M72,"")</f>
        <v>-3</v>
      </c>
      <c r="AJ72" s="11" t="n">
        <f aca="false">IF(COUNT(N72,R72)=2,R72-N72,"")</f>
        <v>-5</v>
      </c>
      <c r="AK72" s="11" t="n">
        <f aca="false">IF(COUNT(O72,S72)=2,S72-O72,"")</f>
        <v>5</v>
      </c>
      <c r="AL72" s="11" t="n">
        <f aca="false">IF(COUNT(AB72,AC72)=2,AC72-AB72,"")</f>
        <v>2</v>
      </c>
      <c r="AM72" s="11" t="n">
        <f aca="false">IF(COUNT(AD72,AE72)=2,AE72-AD72,"")</f>
        <v>3</v>
      </c>
      <c r="AN72" s="11" t="n">
        <f aca="false">IF(COUNT(F72,H72)=2,H72-F72,"")</f>
        <v>-3.8</v>
      </c>
      <c r="AO72" s="8" t="n">
        <f aca="false">IF(COUNT(E72,F72)=2,(F72-E72)/E72,"")</f>
        <v>0.325187969924812</v>
      </c>
      <c r="AP72" s="8" t="n">
        <f aca="false">IF(COUNT(E72,H72)=2,(H72-E72)/E72,"")</f>
        <v>0.087092731829574</v>
      </c>
      <c r="AQ72" s="8" t="str">
        <f aca="false">IF(COUNT(E72,G72)=2,(G72-E72)/E72,"")</f>
        <v/>
      </c>
    </row>
    <row r="73" customFormat="false" ht="15" hidden="false" customHeight="true" outlineLevel="0" collapsed="false">
      <c r="A73" s="9" t="s">
        <v>52</v>
      </c>
      <c r="B73" s="9" t="n">
        <v>157</v>
      </c>
      <c r="C73" s="9" t="s">
        <v>48</v>
      </c>
      <c r="D73" s="9" t="s">
        <v>60</v>
      </c>
      <c r="E73" s="10" t="n">
        <v>14.33</v>
      </c>
      <c r="F73" s="10" t="n">
        <v>15.43</v>
      </c>
      <c r="G73" s="9"/>
      <c r="H73" s="10" t="n">
        <v>17.46</v>
      </c>
      <c r="I73" s="11" t="n">
        <f aca="false">IF(COUNT(E73,F73)=2,F73-E73,"")</f>
        <v>1.1</v>
      </c>
      <c r="J73" s="11" t="n">
        <f aca="false">IF(COUNT(E73,H73)=2,H73-E73,"")</f>
        <v>3.13</v>
      </c>
      <c r="K73" s="11" t="str">
        <f aca="false">IF(COUNT(F73,G73)=2,F73-G73,"")</f>
        <v/>
      </c>
      <c r="L73" s="12" t="n">
        <v>9</v>
      </c>
      <c r="M73" s="12" t="n">
        <v>8</v>
      </c>
      <c r="N73" s="12" t="n">
        <v>9</v>
      </c>
      <c r="O73" s="12" t="n">
        <v>1</v>
      </c>
      <c r="P73" s="12" t="n">
        <v>6</v>
      </c>
      <c r="Q73" s="12" t="n">
        <v>8</v>
      </c>
      <c r="R73" s="12" t="n">
        <v>7</v>
      </c>
      <c r="S73" s="12" t="n">
        <v>3</v>
      </c>
      <c r="T73" s="12" t="n">
        <v>7</v>
      </c>
      <c r="U73" s="12" t="n">
        <v>6</v>
      </c>
      <c r="V73" s="12" t="n">
        <v>8</v>
      </c>
      <c r="W73" s="12" t="n">
        <v>7</v>
      </c>
      <c r="X73" s="12" t="n">
        <v>4</v>
      </c>
      <c r="Y73" s="12" t="n">
        <v>7</v>
      </c>
      <c r="Z73" s="9" t="s">
        <v>46</v>
      </c>
      <c r="AA73" s="9" t="s">
        <v>59</v>
      </c>
      <c r="AB73" s="12" t="n">
        <v>7</v>
      </c>
      <c r="AC73" s="12" t="n">
        <v>6</v>
      </c>
      <c r="AD73" s="12" t="n">
        <v>6</v>
      </c>
      <c r="AE73" s="12" t="n">
        <v>5</v>
      </c>
      <c r="AF73" s="12" t="n">
        <v>7</v>
      </c>
      <c r="AG73" s="12" t="n">
        <v>3</v>
      </c>
      <c r="AH73" s="11" t="n">
        <f aca="false">IF(COUNT(L73,P73)=2,P73-L73,"")</f>
        <v>-3</v>
      </c>
      <c r="AI73" s="11" t="n">
        <f aca="false">IF(COUNT(M73,Q73)=2,Q73-M73,"")</f>
        <v>0</v>
      </c>
      <c r="AJ73" s="11" t="n">
        <f aca="false">IF(COUNT(N73,R73)=2,R73-N73,"")</f>
        <v>-2</v>
      </c>
      <c r="AK73" s="11" t="n">
        <f aca="false">IF(COUNT(O73,S73)=2,S73-O73,"")</f>
        <v>2</v>
      </c>
      <c r="AL73" s="11" t="n">
        <f aca="false">IF(COUNT(AB73,AC73)=2,AC73-AB73,"")</f>
        <v>-1</v>
      </c>
      <c r="AM73" s="11" t="n">
        <f aca="false">IF(COUNT(AD73,AE73)=2,AE73-AD73,"")</f>
        <v>-1</v>
      </c>
      <c r="AN73" s="11" t="n">
        <f aca="false">IF(COUNT(F73,H73)=2,H73-F73,"")</f>
        <v>2.03</v>
      </c>
      <c r="AO73" s="8" t="n">
        <f aca="false">IF(COUNT(E73,F73)=2,(F73-E73)/E73,"")</f>
        <v>0.0767620376831821</v>
      </c>
      <c r="AP73" s="8" t="n">
        <f aca="false">IF(COUNT(E73,H73)=2,(H73-E73)/E73,"")</f>
        <v>0.218422889043964</v>
      </c>
      <c r="AQ73" s="8" t="str">
        <f aca="false">IF(COUNT(E73,G73)=2,(G73-E73)/E73,"")</f>
        <v/>
      </c>
    </row>
    <row r="74" customFormat="false" ht="15" hidden="false" customHeight="true" outlineLevel="0" collapsed="false">
      <c r="A74" s="9" t="s">
        <v>52</v>
      </c>
      <c r="B74" s="9" t="n">
        <v>158</v>
      </c>
      <c r="C74" s="9" t="s">
        <v>44</v>
      </c>
      <c r="D74" s="9" t="s">
        <v>52</v>
      </c>
      <c r="E74" s="10" t="n">
        <v>12.58</v>
      </c>
      <c r="F74" s="10" t="n">
        <v>14.75</v>
      </c>
      <c r="G74" s="9"/>
      <c r="H74" s="10" t="n">
        <v>14.56</v>
      </c>
      <c r="I74" s="11" t="n">
        <f aca="false">IF(COUNT(E74,F74)=2,F74-E74,"")</f>
        <v>2.17</v>
      </c>
      <c r="J74" s="11" t="n">
        <f aca="false">IF(COUNT(E74,H74)=2,H74-E74,"")</f>
        <v>1.98</v>
      </c>
      <c r="K74" s="11" t="str">
        <f aca="false">IF(COUNT(F74,G74)=2,F74-G74,"")</f>
        <v/>
      </c>
      <c r="L74" s="12" t="n">
        <v>7</v>
      </c>
      <c r="M74" s="12" t="n">
        <v>9</v>
      </c>
      <c r="N74" s="12" t="n">
        <v>9</v>
      </c>
      <c r="O74" s="12" t="n">
        <v>2</v>
      </c>
      <c r="P74" s="12" t="n">
        <v>7</v>
      </c>
      <c r="Q74" s="12" t="n">
        <v>9</v>
      </c>
      <c r="R74" s="12" t="n">
        <v>7</v>
      </c>
      <c r="S74" s="12" t="n">
        <v>3</v>
      </c>
      <c r="T74" s="12" t="n">
        <v>9</v>
      </c>
      <c r="U74" s="12" t="n">
        <v>8</v>
      </c>
      <c r="V74" s="12" t="n">
        <v>9</v>
      </c>
      <c r="W74" s="12" t="n">
        <v>7</v>
      </c>
      <c r="X74" s="12" t="n">
        <v>4</v>
      </c>
      <c r="Y74" s="12" t="n">
        <v>9</v>
      </c>
      <c r="Z74" s="9" t="s">
        <v>46</v>
      </c>
      <c r="AA74" s="9" t="s">
        <v>47</v>
      </c>
      <c r="AB74" s="12" t="n">
        <v>8</v>
      </c>
      <c r="AC74" s="12" t="n">
        <v>7</v>
      </c>
      <c r="AD74" s="12" t="n">
        <v>8</v>
      </c>
      <c r="AE74" s="12" t="n">
        <v>8</v>
      </c>
      <c r="AF74" s="12" t="n">
        <v>9</v>
      </c>
      <c r="AG74" s="12" t="n">
        <v>9</v>
      </c>
      <c r="AH74" s="11" t="n">
        <f aca="false">IF(COUNT(L74,P74)=2,P74-L74,"")</f>
        <v>0</v>
      </c>
      <c r="AI74" s="11" t="n">
        <f aca="false">IF(COUNT(M74,Q74)=2,Q74-M74,"")</f>
        <v>0</v>
      </c>
      <c r="AJ74" s="11" t="n">
        <f aca="false">IF(COUNT(N74,R74)=2,R74-N74,"")</f>
        <v>-2</v>
      </c>
      <c r="AK74" s="11" t="n">
        <f aca="false">IF(COUNT(O74,S74)=2,S74-O74,"")</f>
        <v>1</v>
      </c>
      <c r="AL74" s="11" t="n">
        <f aca="false">IF(COUNT(AB74,AC74)=2,AC74-AB74,"")</f>
        <v>-1</v>
      </c>
      <c r="AM74" s="11" t="n">
        <f aca="false">IF(COUNT(AD74,AE74)=2,AE74-AD74,"")</f>
        <v>0</v>
      </c>
      <c r="AN74" s="11" t="n">
        <f aca="false">IF(COUNT(F74,H74)=2,H74-F74,"")</f>
        <v>-0.19</v>
      </c>
      <c r="AO74" s="8" t="n">
        <f aca="false">IF(COUNT(E74,F74)=2,(F74-E74)/E74,"")</f>
        <v>0.172496025437202</v>
      </c>
      <c r="AP74" s="8" t="n">
        <f aca="false">IF(COUNT(E74,H74)=2,(H74-E74)/E74,"")</f>
        <v>0.157392686804452</v>
      </c>
      <c r="AQ74" s="8" t="str">
        <f aca="false">IF(COUNT(E74,G74)=2,(G74-E74)/E74,"")</f>
        <v/>
      </c>
    </row>
    <row r="75" customFormat="false" ht="15" hidden="false" customHeight="true" outlineLevel="0" collapsed="false">
      <c r="A75" s="9" t="s">
        <v>52</v>
      </c>
      <c r="B75" s="9" t="n">
        <v>159</v>
      </c>
      <c r="C75" s="9" t="s">
        <v>44</v>
      </c>
      <c r="D75" s="9" t="s">
        <v>53</v>
      </c>
      <c r="E75" s="10" t="n">
        <v>13.78</v>
      </c>
      <c r="F75" s="10" t="n">
        <v>14.87</v>
      </c>
      <c r="G75" s="9"/>
      <c r="H75" s="10" t="n">
        <v>16.06</v>
      </c>
      <c r="I75" s="11" t="n">
        <f aca="false">IF(COUNT(E75,F75)=2,F75-E75,"")</f>
        <v>1.09</v>
      </c>
      <c r="J75" s="11" t="n">
        <f aca="false">IF(COUNT(E75,H75)=2,H75-E75,"")</f>
        <v>2.28</v>
      </c>
      <c r="K75" s="11" t="str">
        <f aca="false">IF(COUNT(F75,G75)=2,F75-G75,"")</f>
        <v/>
      </c>
      <c r="L75" s="12" t="n">
        <v>9</v>
      </c>
      <c r="M75" s="12" t="n">
        <v>9</v>
      </c>
      <c r="N75" s="12" t="n">
        <v>8</v>
      </c>
      <c r="O75" s="12" t="n">
        <v>1</v>
      </c>
      <c r="P75" s="12" t="n">
        <v>9</v>
      </c>
      <c r="Q75" s="12" t="n">
        <v>9</v>
      </c>
      <c r="R75" s="12" t="n">
        <v>8</v>
      </c>
      <c r="S75" s="12" t="n">
        <v>1</v>
      </c>
      <c r="T75" s="12" t="n">
        <v>7</v>
      </c>
      <c r="U75" s="12" t="n">
        <v>8</v>
      </c>
      <c r="V75" s="12" t="n">
        <v>8</v>
      </c>
      <c r="W75" s="12" t="n">
        <v>8</v>
      </c>
      <c r="X75" s="12" t="n">
        <v>2</v>
      </c>
      <c r="Y75" s="12" t="n">
        <v>6</v>
      </c>
      <c r="Z75" s="9" t="s">
        <v>54</v>
      </c>
      <c r="AA75" s="9" t="s">
        <v>56</v>
      </c>
      <c r="AB75" s="12" t="n">
        <v>8</v>
      </c>
      <c r="AC75" s="12" t="n">
        <v>6</v>
      </c>
      <c r="AD75" s="12" t="n">
        <v>6</v>
      </c>
      <c r="AE75" s="12" t="n">
        <v>6</v>
      </c>
      <c r="AF75" s="12" t="n">
        <v>6</v>
      </c>
      <c r="AG75" s="12" t="n">
        <v>2</v>
      </c>
      <c r="AH75" s="11" t="n">
        <f aca="false">IF(COUNT(L75,P75)=2,P75-L75,"")</f>
        <v>0</v>
      </c>
      <c r="AI75" s="11" t="n">
        <f aca="false">IF(COUNT(M75,Q75)=2,Q75-M75,"")</f>
        <v>0</v>
      </c>
      <c r="AJ75" s="11" t="n">
        <f aca="false">IF(COUNT(N75,R75)=2,R75-N75,"")</f>
        <v>0</v>
      </c>
      <c r="AK75" s="11" t="n">
        <f aca="false">IF(COUNT(O75,S75)=2,S75-O75,"")</f>
        <v>0</v>
      </c>
      <c r="AL75" s="11" t="n">
        <f aca="false">IF(COUNT(AB75,AC75)=2,AC75-AB75,"")</f>
        <v>-2</v>
      </c>
      <c r="AM75" s="11" t="n">
        <f aca="false">IF(COUNT(AD75,AE75)=2,AE75-AD75,"")</f>
        <v>0</v>
      </c>
      <c r="AN75" s="11" t="n">
        <f aca="false">IF(COUNT(F75,H75)=2,H75-F75,"")</f>
        <v>1.19</v>
      </c>
      <c r="AO75" s="8" t="n">
        <f aca="false">IF(COUNT(E75,F75)=2,(F75-E75)/E75,"")</f>
        <v>0.079100145137881</v>
      </c>
      <c r="AP75" s="8" t="n">
        <f aca="false">IF(COUNT(E75,H75)=2,(H75-E75)/E75,"")</f>
        <v>0.165457184325109</v>
      </c>
      <c r="AQ75" s="8" t="str">
        <f aca="false">IF(COUNT(E75,G75)=2,(G75-E75)/E75,"")</f>
        <v/>
      </c>
    </row>
    <row r="76" customFormat="false" ht="15" hidden="false" customHeight="true" outlineLevel="0" collapsed="false">
      <c r="A76" s="9" t="s">
        <v>52</v>
      </c>
      <c r="B76" s="9" t="n">
        <v>160</v>
      </c>
      <c r="C76" s="9" t="s">
        <v>44</v>
      </c>
      <c r="D76" s="9" t="s">
        <v>58</v>
      </c>
      <c r="E76" s="10" t="n">
        <v>12.54</v>
      </c>
      <c r="F76" s="10" t="n">
        <v>14.53</v>
      </c>
      <c r="G76" s="9"/>
      <c r="H76" s="10" t="n">
        <v>13.62</v>
      </c>
      <c r="I76" s="11" t="n">
        <f aca="false">IF(COUNT(E76,F76)=2,F76-E76,"")</f>
        <v>1.99</v>
      </c>
      <c r="J76" s="11" t="n">
        <f aca="false">IF(COUNT(E76,H76)=2,H76-E76,"")</f>
        <v>1.08</v>
      </c>
      <c r="K76" s="11" t="str">
        <f aca="false">IF(COUNT(F76,G76)=2,F76-G76,"")</f>
        <v/>
      </c>
      <c r="L76" s="12" t="n">
        <v>9</v>
      </c>
      <c r="M76" s="12" t="n">
        <v>9</v>
      </c>
      <c r="N76" s="12" t="n">
        <v>9</v>
      </c>
      <c r="O76" s="12" t="n">
        <v>1</v>
      </c>
      <c r="P76" s="12" t="n">
        <v>9</v>
      </c>
      <c r="Q76" s="12" t="n">
        <v>9</v>
      </c>
      <c r="R76" s="12" t="n">
        <v>9</v>
      </c>
      <c r="S76" s="12" t="n">
        <v>1</v>
      </c>
      <c r="T76" s="12" t="n">
        <v>9</v>
      </c>
      <c r="U76" s="12" t="n">
        <v>8</v>
      </c>
      <c r="V76" s="12" t="n">
        <v>9</v>
      </c>
      <c r="W76" s="12" t="n">
        <v>9</v>
      </c>
      <c r="X76" s="12" t="n">
        <v>1</v>
      </c>
      <c r="Y76" s="12" t="n">
        <v>9</v>
      </c>
      <c r="Z76" s="9" t="s">
        <v>54</v>
      </c>
      <c r="AA76" s="9" t="s">
        <v>59</v>
      </c>
      <c r="AB76" s="12" t="n">
        <v>9</v>
      </c>
      <c r="AC76" s="12" t="n">
        <v>8</v>
      </c>
      <c r="AD76" s="12" t="n">
        <v>9</v>
      </c>
      <c r="AE76" s="12" t="n">
        <v>8</v>
      </c>
      <c r="AF76" s="12" t="n">
        <v>9</v>
      </c>
      <c r="AG76" s="12" t="n">
        <v>9</v>
      </c>
      <c r="AH76" s="11" t="n">
        <f aca="false">IF(COUNT(L76,P76)=2,P76-L76,"")</f>
        <v>0</v>
      </c>
      <c r="AI76" s="11" t="n">
        <f aca="false">IF(COUNT(M76,Q76)=2,Q76-M76,"")</f>
        <v>0</v>
      </c>
      <c r="AJ76" s="11" t="n">
        <f aca="false">IF(COUNT(N76,R76)=2,R76-N76,"")</f>
        <v>0</v>
      </c>
      <c r="AK76" s="11" t="n">
        <f aca="false">IF(COUNT(O76,S76)=2,S76-O76,"")</f>
        <v>0</v>
      </c>
      <c r="AL76" s="11" t="n">
        <f aca="false">IF(COUNT(AB76,AC76)=2,AC76-AB76,"")</f>
        <v>-1</v>
      </c>
      <c r="AM76" s="11" t="n">
        <f aca="false">IF(COUNT(AD76,AE76)=2,AE76-AD76,"")</f>
        <v>-1</v>
      </c>
      <c r="AN76" s="11" t="n">
        <f aca="false">IF(COUNT(F76,H76)=2,H76-F76,"")</f>
        <v>-0.91</v>
      </c>
      <c r="AO76" s="8" t="n">
        <f aca="false">IF(COUNT(E76,F76)=2,(F76-E76)/E76,"")</f>
        <v>0.158692185007975</v>
      </c>
      <c r="AP76" s="8" t="n">
        <f aca="false">IF(COUNT(E76,H76)=2,(H76-E76)/E76,"")</f>
        <v>0.0861244019138756</v>
      </c>
      <c r="AQ76" s="8" t="str">
        <f aca="false">IF(COUNT(E76,G76)=2,(G76-E76)/E76,"")</f>
        <v/>
      </c>
    </row>
    <row r="77" customFormat="false" ht="15" hidden="false" customHeight="true" outlineLevel="0" collapsed="false">
      <c r="A77" s="9" t="s">
        <v>52</v>
      </c>
      <c r="B77" s="9" t="n">
        <v>161</v>
      </c>
      <c r="C77" s="9" t="s">
        <v>48</v>
      </c>
      <c r="D77" s="9" t="s">
        <v>55</v>
      </c>
      <c r="E77" s="10" t="n">
        <v>13.53</v>
      </c>
      <c r="F77" s="10" t="n">
        <v>13.19</v>
      </c>
      <c r="G77" s="9"/>
      <c r="H77" s="10" t="n">
        <v>13.75</v>
      </c>
      <c r="I77" s="11" t="n">
        <f aca="false">IF(COUNT(E77,F77)=2,F77-E77,"")</f>
        <v>-0.34</v>
      </c>
      <c r="J77" s="11" t="n">
        <f aca="false">IF(COUNT(E77,H77)=2,H77-E77,"")</f>
        <v>0.220000000000001</v>
      </c>
      <c r="K77" s="11" t="str">
        <f aca="false">IF(COUNT(F77,G77)=2,F77-G77,"")</f>
        <v/>
      </c>
      <c r="L77" s="12" t="n">
        <v>9</v>
      </c>
      <c r="M77" s="12" t="n">
        <v>9</v>
      </c>
      <c r="N77" s="12" t="n">
        <v>9</v>
      </c>
      <c r="O77" s="12" t="n">
        <v>1</v>
      </c>
      <c r="P77" s="12" t="n">
        <v>9</v>
      </c>
      <c r="Q77" s="12" t="n">
        <v>9</v>
      </c>
      <c r="R77" s="12" t="n">
        <v>9</v>
      </c>
      <c r="S77" s="12" t="n">
        <v>1</v>
      </c>
      <c r="T77" s="12" t="n">
        <v>9</v>
      </c>
      <c r="U77" s="12" t="n">
        <v>9</v>
      </c>
      <c r="V77" s="12" t="n">
        <v>9</v>
      </c>
      <c r="W77" s="12" t="n">
        <v>9</v>
      </c>
      <c r="X77" s="12" t="n">
        <v>1</v>
      </c>
      <c r="Y77" s="12" t="n">
        <v>9</v>
      </c>
      <c r="Z77" s="9" t="s">
        <v>46</v>
      </c>
      <c r="AA77" s="9" t="s">
        <v>47</v>
      </c>
      <c r="AB77" s="12" t="n">
        <v>7</v>
      </c>
      <c r="AC77" s="12" t="n">
        <v>9</v>
      </c>
      <c r="AD77" s="12" t="n">
        <v>3</v>
      </c>
      <c r="AE77" s="12" t="n">
        <v>9</v>
      </c>
      <c r="AF77" s="12" t="n">
        <v>6</v>
      </c>
      <c r="AG77" s="12" t="n">
        <v>5</v>
      </c>
      <c r="AH77" s="11" t="n">
        <f aca="false">IF(COUNT(L77,P77)=2,P77-L77,"")</f>
        <v>0</v>
      </c>
      <c r="AI77" s="11" t="n">
        <f aca="false">IF(COUNT(M77,Q77)=2,Q77-M77,"")</f>
        <v>0</v>
      </c>
      <c r="AJ77" s="11" t="n">
        <f aca="false">IF(COUNT(N77,R77)=2,R77-N77,"")</f>
        <v>0</v>
      </c>
      <c r="AK77" s="11" t="n">
        <f aca="false">IF(COUNT(O77,S77)=2,S77-O77,"")</f>
        <v>0</v>
      </c>
      <c r="AL77" s="11" t="n">
        <f aca="false">IF(COUNT(AB77,AC77)=2,AC77-AB77,"")</f>
        <v>2</v>
      </c>
      <c r="AM77" s="11" t="n">
        <f aca="false">IF(COUNT(AD77,AE77)=2,AE77-AD77,"")</f>
        <v>6</v>
      </c>
      <c r="AN77" s="11" t="n">
        <f aca="false">IF(COUNT(F77,H77)=2,H77-F77,"")</f>
        <v>0.560000000000001</v>
      </c>
      <c r="AO77" s="8" t="n">
        <f aca="false">IF(COUNT(E77,F77)=2,(F77-E77)/E77,"")</f>
        <v>-0.0251293422025129</v>
      </c>
      <c r="AP77" s="8" t="n">
        <f aca="false">IF(COUNT(E77,H77)=2,(H77-E77)/E77,"")</f>
        <v>0.0162601626016261</v>
      </c>
      <c r="AQ77" s="8" t="str">
        <f aca="false">IF(COUNT(E77,G77)=2,(G77-E77)/E77,"")</f>
        <v/>
      </c>
    </row>
    <row r="78" customFormat="false" ht="15" hidden="false" customHeight="true" outlineLevel="0" collapsed="false">
      <c r="A78" s="9" t="s">
        <v>52</v>
      </c>
      <c r="B78" s="9" t="n">
        <v>162</v>
      </c>
      <c r="C78" s="9" t="s">
        <v>44</v>
      </c>
      <c r="D78" s="9"/>
      <c r="E78" s="10" t="n">
        <v>17.41</v>
      </c>
      <c r="F78" s="10" t="n">
        <v>19.22</v>
      </c>
      <c r="G78" s="9"/>
      <c r="H78" s="10" t="n">
        <v>24</v>
      </c>
      <c r="I78" s="11" t="n">
        <f aca="false">IF(COUNT(E78,F78)=2,F78-E78,"")</f>
        <v>1.81</v>
      </c>
      <c r="J78" s="11" t="n">
        <f aca="false">IF(COUNT(E78,H78)=2,H78-E78,"")</f>
        <v>6.59</v>
      </c>
      <c r="K78" s="11" t="str">
        <f aca="false">IF(COUNT(F78,G78)=2,F78-G78,"")</f>
        <v/>
      </c>
      <c r="L78" s="12" t="n">
        <v>9</v>
      </c>
      <c r="M78" s="12" t="n">
        <v>9</v>
      </c>
      <c r="N78" s="12" t="n">
        <v>9</v>
      </c>
      <c r="O78" s="12" t="n">
        <v>1</v>
      </c>
      <c r="P78" s="12" t="n">
        <v>8</v>
      </c>
      <c r="Q78" s="12" t="n">
        <v>7</v>
      </c>
      <c r="R78" s="12" t="n">
        <v>7</v>
      </c>
      <c r="S78" s="12" t="n">
        <v>2</v>
      </c>
      <c r="T78" s="12" t="n">
        <v>8</v>
      </c>
      <c r="U78" s="12" t="n">
        <v>9</v>
      </c>
      <c r="V78" s="12" t="n">
        <v>9</v>
      </c>
      <c r="W78" s="12" t="n">
        <v>9</v>
      </c>
      <c r="X78" s="12" t="n">
        <v>7</v>
      </c>
      <c r="Y78" s="12" t="n">
        <v>8</v>
      </c>
      <c r="Z78" s="9" t="s">
        <v>54</v>
      </c>
      <c r="AA78" s="9" t="s">
        <v>47</v>
      </c>
      <c r="AB78" s="12" t="n">
        <v>6</v>
      </c>
      <c r="AC78" s="12" t="n">
        <v>8</v>
      </c>
      <c r="AD78" s="12" t="n">
        <v>5</v>
      </c>
      <c r="AE78" s="12" t="n">
        <v>7</v>
      </c>
      <c r="AF78" s="12" t="n">
        <v>7</v>
      </c>
      <c r="AG78" s="12" t="n">
        <v>6</v>
      </c>
      <c r="AH78" s="11" t="n">
        <f aca="false">IF(COUNT(L78,P78)=2,P78-L78,"")</f>
        <v>-1</v>
      </c>
      <c r="AI78" s="11" t="n">
        <f aca="false">IF(COUNT(M78,Q78)=2,Q78-M78,"")</f>
        <v>-2</v>
      </c>
      <c r="AJ78" s="11" t="n">
        <f aca="false">IF(COUNT(N78,R78)=2,R78-N78,"")</f>
        <v>-2</v>
      </c>
      <c r="AK78" s="11" t="n">
        <f aca="false">IF(COUNT(O78,S78)=2,S78-O78,"")</f>
        <v>1</v>
      </c>
      <c r="AL78" s="11" t="n">
        <f aca="false">IF(COUNT(AB78,AC78)=2,AC78-AB78,"")</f>
        <v>2</v>
      </c>
      <c r="AM78" s="11" t="n">
        <f aca="false">IF(COUNT(AD78,AE78)=2,AE78-AD78,"")</f>
        <v>2</v>
      </c>
      <c r="AN78" s="11" t="n">
        <f aca="false">IF(COUNT(F78,H78)=2,H78-F78,"")</f>
        <v>4.78</v>
      </c>
      <c r="AO78" s="8" t="n">
        <f aca="false">IF(COUNT(E78,F78)=2,(F78-E78)/E78,"")</f>
        <v>0.103963239517519</v>
      </c>
      <c r="AP78" s="8" t="n">
        <f aca="false">IF(COUNT(E78,H78)=2,(H78-E78)/E78,"")</f>
        <v>0.378518093049971</v>
      </c>
      <c r="AQ78" s="8" t="str">
        <f aca="false">IF(COUNT(E78,G78)=2,(G78-E78)/E78,"")</f>
        <v/>
      </c>
    </row>
    <row r="79" customFormat="false" ht="15" hidden="false" customHeight="true" outlineLevel="0" collapsed="false">
      <c r="A79" s="9" t="s">
        <v>52</v>
      </c>
      <c r="B79" s="9" t="n">
        <v>163</v>
      </c>
      <c r="C79" s="9" t="s">
        <v>44</v>
      </c>
      <c r="D79" s="9" t="s">
        <v>52</v>
      </c>
      <c r="E79" s="10" t="n">
        <v>17.91</v>
      </c>
      <c r="F79" s="10" t="n">
        <v>17.41</v>
      </c>
      <c r="G79" s="9"/>
      <c r="H79" s="10" t="n">
        <v>18.1</v>
      </c>
      <c r="I79" s="11" t="n">
        <f aca="false">IF(COUNT(E79,F79)=2,F79-E79,"")</f>
        <v>-0.5</v>
      </c>
      <c r="J79" s="11" t="n">
        <f aca="false">IF(COUNT(E79,H79)=2,H79-E79,"")</f>
        <v>0.190000000000001</v>
      </c>
      <c r="K79" s="11" t="str">
        <f aca="false">IF(COUNT(F79,G79)=2,F79-G79,"")</f>
        <v/>
      </c>
      <c r="L79" s="12" t="n">
        <v>9</v>
      </c>
      <c r="M79" s="12" t="n">
        <v>9</v>
      </c>
      <c r="N79" s="12" t="n">
        <v>9</v>
      </c>
      <c r="O79" s="12" t="n">
        <v>1</v>
      </c>
      <c r="P79" s="12" t="n">
        <v>9</v>
      </c>
      <c r="Q79" s="12" t="n">
        <v>9</v>
      </c>
      <c r="R79" s="12" t="n">
        <v>9</v>
      </c>
      <c r="S79" s="12" t="n">
        <v>9</v>
      </c>
      <c r="T79" s="12" t="n">
        <v>9</v>
      </c>
      <c r="U79" s="9"/>
      <c r="V79" s="9"/>
      <c r="W79" s="9"/>
      <c r="X79" s="9"/>
      <c r="Y79" s="9"/>
      <c r="Z79" s="9" t="s">
        <v>46</v>
      </c>
      <c r="AA79" s="9" t="s">
        <v>56</v>
      </c>
      <c r="AB79" s="12" t="n">
        <v>9</v>
      </c>
      <c r="AC79" s="12" t="n">
        <v>9</v>
      </c>
      <c r="AD79" s="12" t="n">
        <v>9</v>
      </c>
      <c r="AE79" s="12" t="n">
        <v>9</v>
      </c>
      <c r="AF79" s="12" t="n">
        <v>9</v>
      </c>
      <c r="AG79" s="12" t="n">
        <v>9</v>
      </c>
      <c r="AH79" s="11" t="n">
        <f aca="false">IF(COUNT(L79,P79)=2,P79-L79,"")</f>
        <v>0</v>
      </c>
      <c r="AI79" s="11" t="n">
        <f aca="false">IF(COUNT(M79,Q79)=2,Q79-M79,"")</f>
        <v>0</v>
      </c>
      <c r="AJ79" s="11" t="n">
        <f aca="false">IF(COUNT(N79,R79)=2,R79-N79,"")</f>
        <v>0</v>
      </c>
      <c r="AK79" s="11" t="n">
        <f aca="false">IF(COUNT(O79,S79)=2,S79-O79,"")</f>
        <v>8</v>
      </c>
      <c r="AL79" s="11" t="n">
        <f aca="false">IF(COUNT(AB79,AC79)=2,AC79-AB79,"")</f>
        <v>0</v>
      </c>
      <c r="AM79" s="11" t="n">
        <f aca="false">IF(COUNT(AD79,AE79)=2,AE79-AD79,"")</f>
        <v>0</v>
      </c>
      <c r="AN79" s="11" t="n">
        <f aca="false">IF(COUNT(F79,H79)=2,H79-F79,"")</f>
        <v>0.690000000000001</v>
      </c>
      <c r="AO79" s="8" t="n">
        <f aca="false">IF(COUNT(E79,F79)=2,(F79-E79)/E79,"")</f>
        <v>-0.0279173646007817</v>
      </c>
      <c r="AP79" s="8" t="n">
        <f aca="false">IF(COUNT(E79,H79)=2,(H79-E79)/E79,"")</f>
        <v>0.0106085985482971</v>
      </c>
      <c r="AQ79" s="8" t="str">
        <f aca="false">IF(COUNT(E79,G79)=2,(G79-E79)/E79,"")</f>
        <v/>
      </c>
    </row>
    <row r="80" customFormat="false" ht="15" hidden="false" customHeight="true" outlineLevel="0" collapsed="false">
      <c r="A80" s="9" t="s">
        <v>52</v>
      </c>
      <c r="B80" s="9" t="n">
        <v>164</v>
      </c>
      <c r="C80" s="9" t="s">
        <v>44</v>
      </c>
      <c r="D80" s="9" t="s">
        <v>57</v>
      </c>
      <c r="E80" s="10" t="n">
        <v>15.5</v>
      </c>
      <c r="F80" s="10" t="n">
        <v>18.56</v>
      </c>
      <c r="G80" s="9"/>
      <c r="H80" s="10" t="n">
        <v>18</v>
      </c>
      <c r="I80" s="11" t="n">
        <f aca="false">IF(COUNT(E80,F80)=2,F80-E80,"")</f>
        <v>3.06</v>
      </c>
      <c r="J80" s="11" t="n">
        <f aca="false">IF(COUNT(E80,H80)=2,H80-E80,"")</f>
        <v>2.5</v>
      </c>
      <c r="K80" s="11" t="str">
        <f aca="false">IF(COUNT(F80,G80)=2,F80-G80,"")</f>
        <v/>
      </c>
      <c r="L80" s="12" t="n">
        <v>9</v>
      </c>
      <c r="M80" s="12" t="n">
        <v>9</v>
      </c>
      <c r="N80" s="12" t="n">
        <v>9</v>
      </c>
      <c r="O80" s="12" t="n">
        <v>1</v>
      </c>
      <c r="P80" s="12" t="n">
        <v>9</v>
      </c>
      <c r="Q80" s="12" t="n">
        <v>9</v>
      </c>
      <c r="R80" s="12" t="n">
        <v>9</v>
      </c>
      <c r="S80" s="12" t="n">
        <v>1</v>
      </c>
      <c r="T80" s="12" t="n">
        <v>9</v>
      </c>
      <c r="U80" s="12" t="n">
        <v>8</v>
      </c>
      <c r="V80" s="12" t="n">
        <v>9</v>
      </c>
      <c r="W80" s="12" t="n">
        <v>9</v>
      </c>
      <c r="X80" s="12" t="n">
        <v>1</v>
      </c>
      <c r="Y80" s="12" t="n">
        <v>8</v>
      </c>
      <c r="Z80" s="9" t="s">
        <v>46</v>
      </c>
      <c r="AA80" s="9" t="s">
        <v>47</v>
      </c>
      <c r="AB80" s="12" t="n">
        <v>9</v>
      </c>
      <c r="AC80" s="12" t="n">
        <v>9</v>
      </c>
      <c r="AD80" s="12" t="n">
        <v>8</v>
      </c>
      <c r="AE80" s="12" t="n">
        <v>9</v>
      </c>
      <c r="AF80" s="12" t="n">
        <v>9</v>
      </c>
      <c r="AG80" s="12" t="n">
        <v>7</v>
      </c>
      <c r="AH80" s="11" t="n">
        <f aca="false">IF(COUNT(L80,P80)=2,P80-L80,"")</f>
        <v>0</v>
      </c>
      <c r="AI80" s="11" t="n">
        <f aca="false">IF(COUNT(M80,Q80)=2,Q80-M80,"")</f>
        <v>0</v>
      </c>
      <c r="AJ80" s="11" t="n">
        <f aca="false">IF(COUNT(N80,R80)=2,R80-N80,"")</f>
        <v>0</v>
      </c>
      <c r="AK80" s="11" t="n">
        <f aca="false">IF(COUNT(O80,S80)=2,S80-O80,"")</f>
        <v>0</v>
      </c>
      <c r="AL80" s="11" t="n">
        <f aca="false">IF(COUNT(AB80,AC80)=2,AC80-AB80,"")</f>
        <v>0</v>
      </c>
      <c r="AM80" s="11" t="n">
        <f aca="false">IF(COUNT(AD80,AE80)=2,AE80-AD80,"")</f>
        <v>1</v>
      </c>
      <c r="AN80" s="11" t="n">
        <f aca="false">IF(COUNT(F80,H80)=2,H80-F80,"")</f>
        <v>-0.559999999999999</v>
      </c>
      <c r="AO80" s="8" t="n">
        <f aca="false">IF(COUNT(E80,F80)=2,(F80-E80)/E80,"")</f>
        <v>0.19741935483871</v>
      </c>
      <c r="AP80" s="8" t="n">
        <f aca="false">IF(COUNT(E80,H80)=2,(H80-E80)/E80,"")</f>
        <v>0.161290322580645</v>
      </c>
      <c r="AQ80" s="8" t="str">
        <f aca="false">IF(COUNT(E80,G80)=2,(G80-E80)/E80,"")</f>
        <v/>
      </c>
    </row>
    <row r="81" customFormat="false" ht="15" hidden="false" customHeight="true" outlineLevel="0" collapsed="false">
      <c r="A81" s="9" t="s">
        <v>52</v>
      </c>
      <c r="B81" s="9" t="n">
        <v>165</v>
      </c>
      <c r="C81" s="9" t="s">
        <v>48</v>
      </c>
      <c r="D81" s="9" t="s">
        <v>60</v>
      </c>
      <c r="E81" s="10" t="n">
        <v>13.94</v>
      </c>
      <c r="F81" s="10" t="n">
        <v>15.06</v>
      </c>
      <c r="G81" s="9"/>
      <c r="H81" s="10" t="n">
        <v>17.62</v>
      </c>
      <c r="I81" s="11" t="n">
        <f aca="false">IF(COUNT(E81,F81)=2,F81-E81,"")</f>
        <v>1.12</v>
      </c>
      <c r="J81" s="11" t="n">
        <f aca="false">IF(COUNT(E81,H81)=2,H81-E81,"")</f>
        <v>3.68</v>
      </c>
      <c r="K81" s="11" t="str">
        <f aca="false">IF(COUNT(F81,G81)=2,F81-G81,"")</f>
        <v/>
      </c>
      <c r="L81" s="12" t="n">
        <v>9</v>
      </c>
      <c r="M81" s="12" t="n">
        <v>9</v>
      </c>
      <c r="N81" s="12" t="n">
        <v>9</v>
      </c>
      <c r="O81" s="12" t="n">
        <v>1</v>
      </c>
      <c r="P81" s="12" t="n">
        <v>8</v>
      </c>
      <c r="Q81" s="12" t="n">
        <v>8</v>
      </c>
      <c r="R81" s="12" t="n">
        <v>8</v>
      </c>
      <c r="S81" s="12" t="n">
        <v>1</v>
      </c>
      <c r="T81" s="12" t="n">
        <v>8</v>
      </c>
      <c r="U81" s="12" t="n">
        <v>5</v>
      </c>
      <c r="V81" s="12" t="n">
        <v>9</v>
      </c>
      <c r="W81" s="12" t="n">
        <v>5</v>
      </c>
      <c r="X81" s="12" t="n">
        <v>7</v>
      </c>
      <c r="Y81" s="12" t="n">
        <v>7</v>
      </c>
      <c r="Z81" s="9" t="s">
        <v>54</v>
      </c>
      <c r="AA81" s="9" t="s">
        <v>56</v>
      </c>
      <c r="AB81" s="12" t="n">
        <v>9</v>
      </c>
      <c r="AC81" s="12" t="n">
        <v>9</v>
      </c>
      <c r="AD81" s="12" t="n">
        <v>6</v>
      </c>
      <c r="AE81" s="12" t="n">
        <v>6</v>
      </c>
      <c r="AF81" s="12" t="n">
        <v>6</v>
      </c>
      <c r="AG81" s="12" t="n">
        <v>1</v>
      </c>
      <c r="AH81" s="11" t="n">
        <f aca="false">IF(COUNT(L81,P81)=2,P81-L81,"")</f>
        <v>-1</v>
      </c>
      <c r="AI81" s="11" t="n">
        <f aca="false">IF(COUNT(M81,Q81)=2,Q81-M81,"")</f>
        <v>-1</v>
      </c>
      <c r="AJ81" s="11" t="n">
        <f aca="false">IF(COUNT(N81,R81)=2,R81-N81,"")</f>
        <v>-1</v>
      </c>
      <c r="AK81" s="11" t="n">
        <f aca="false">IF(COUNT(O81,S81)=2,S81-O81,"")</f>
        <v>0</v>
      </c>
      <c r="AL81" s="11" t="n">
        <f aca="false">IF(COUNT(AB81,AC81)=2,AC81-AB81,"")</f>
        <v>0</v>
      </c>
      <c r="AM81" s="11" t="n">
        <f aca="false">IF(COUNT(AD81,AE81)=2,AE81-AD81,"")</f>
        <v>0</v>
      </c>
      <c r="AN81" s="11" t="n">
        <f aca="false">IF(COUNT(F81,H81)=2,H81-F81,"")</f>
        <v>2.56</v>
      </c>
      <c r="AO81" s="8" t="n">
        <f aca="false">IF(COUNT(E81,F81)=2,(F81-E81)/E81,"")</f>
        <v>0.0803443328550933</v>
      </c>
      <c r="AP81" s="8" t="n">
        <f aca="false">IF(COUNT(E81,H81)=2,(H81-E81)/E81,"")</f>
        <v>0.263988522238164</v>
      </c>
      <c r="AQ81" s="8" t="str">
        <f aca="false">IF(COUNT(E81,G81)=2,(G81-E81)/E81,"")</f>
        <v/>
      </c>
    </row>
    <row r="82" customFormat="false" ht="15" hidden="false" customHeight="true" outlineLevel="0" collapsed="false">
      <c r="A82" s="9" t="s">
        <v>52</v>
      </c>
      <c r="B82" s="9" t="n">
        <v>166</v>
      </c>
      <c r="C82" s="9" t="s">
        <v>48</v>
      </c>
      <c r="D82" s="9"/>
      <c r="E82" s="10" t="n">
        <v>15.44</v>
      </c>
      <c r="F82" s="10" t="n">
        <v>18.81</v>
      </c>
      <c r="G82" s="9"/>
      <c r="H82" s="10" t="n">
        <v>19.34</v>
      </c>
      <c r="I82" s="11" t="n">
        <f aca="false">IF(COUNT(E82,F82)=2,F82-E82,"")</f>
        <v>3.37</v>
      </c>
      <c r="J82" s="11" t="n">
        <f aca="false">IF(COUNT(E82,H82)=2,H82-E82,"")</f>
        <v>3.9</v>
      </c>
      <c r="K82" s="11" t="str">
        <f aca="false">IF(COUNT(F82,G82)=2,F82-G82,"")</f>
        <v/>
      </c>
      <c r="L82" s="12" t="n">
        <v>7</v>
      </c>
      <c r="M82" s="12" t="n">
        <v>9</v>
      </c>
      <c r="N82" s="12" t="n">
        <v>9</v>
      </c>
      <c r="O82" s="12" t="n">
        <v>1</v>
      </c>
      <c r="P82" s="12" t="n">
        <v>6</v>
      </c>
      <c r="Q82" s="12" t="n">
        <v>7</v>
      </c>
      <c r="R82" s="12" t="n">
        <v>7</v>
      </c>
      <c r="S82" s="12" t="n">
        <v>2</v>
      </c>
      <c r="T82" s="12" t="n">
        <v>7</v>
      </c>
      <c r="U82" s="12" t="n">
        <v>5</v>
      </c>
      <c r="V82" s="12" t="n">
        <v>9</v>
      </c>
      <c r="W82" s="12" t="n">
        <v>7</v>
      </c>
      <c r="X82" s="12" t="n">
        <v>3</v>
      </c>
      <c r="Y82" s="12" t="n">
        <v>9</v>
      </c>
      <c r="Z82" s="9"/>
      <c r="AA82" s="9"/>
      <c r="AB82" s="9"/>
      <c r="AC82" s="9"/>
      <c r="AD82" s="9"/>
      <c r="AE82" s="9"/>
      <c r="AF82" s="9"/>
      <c r="AG82" s="9"/>
      <c r="AH82" s="11" t="n">
        <f aca="false">IF(COUNT(L82,P82)=2,P82-L82,"")</f>
        <v>-1</v>
      </c>
      <c r="AI82" s="11" t="n">
        <f aca="false">IF(COUNT(M82,Q82)=2,Q82-M82,"")</f>
        <v>-2</v>
      </c>
      <c r="AJ82" s="11" t="n">
        <f aca="false">IF(COUNT(N82,R82)=2,R82-N82,"")</f>
        <v>-2</v>
      </c>
      <c r="AK82" s="11" t="n">
        <f aca="false">IF(COUNT(O82,S82)=2,S82-O82,"")</f>
        <v>1</v>
      </c>
      <c r="AL82" s="11" t="str">
        <f aca="false">IF(COUNT(AB82,AC82)=2,AC82-AB82,"")</f>
        <v/>
      </c>
      <c r="AM82" s="11" t="str">
        <f aca="false">IF(COUNT(AD82,AE82)=2,AE82-AD82,"")</f>
        <v/>
      </c>
      <c r="AN82" s="11" t="n">
        <f aca="false">IF(COUNT(F82,H82)=2,H82-F82,"")</f>
        <v>0.530000000000001</v>
      </c>
      <c r="AO82" s="8" t="n">
        <f aca="false">IF(COUNT(E82,F82)=2,(F82-E82)/E82,"")</f>
        <v>0.218264248704663</v>
      </c>
      <c r="AP82" s="8" t="n">
        <f aca="false">IF(COUNT(E82,H82)=2,(H82-E82)/E82,"")</f>
        <v>0.25259067357513</v>
      </c>
      <c r="AQ82" s="8" t="str">
        <f aca="false">IF(COUNT(E82,G82)=2,(G82-E82)/E82,"")</f>
        <v/>
      </c>
    </row>
    <row r="83" customFormat="false" ht="15" hidden="false" customHeight="true" outlineLevel="0" collapsed="false">
      <c r="A83" s="9" t="s">
        <v>52</v>
      </c>
      <c r="B83" s="9" t="n">
        <v>167</v>
      </c>
      <c r="C83" s="9" t="s">
        <v>48</v>
      </c>
      <c r="D83" s="9" t="s">
        <v>57</v>
      </c>
      <c r="E83" s="10" t="n">
        <v>14.13</v>
      </c>
      <c r="F83" s="10" t="n">
        <v>15.72</v>
      </c>
      <c r="G83" s="9"/>
      <c r="H83" s="10" t="n">
        <v>14.35</v>
      </c>
      <c r="I83" s="11" t="n">
        <f aca="false">IF(COUNT(E83,F83)=2,F83-E83,"")</f>
        <v>1.59</v>
      </c>
      <c r="J83" s="11" t="n">
        <f aca="false">IF(COUNT(E83,H83)=2,H83-E83,"")</f>
        <v>0.219999999999999</v>
      </c>
      <c r="K83" s="11" t="str">
        <f aca="false">IF(COUNT(F83,G83)=2,F83-G83,"")</f>
        <v/>
      </c>
      <c r="L83" s="12" t="n">
        <v>9</v>
      </c>
      <c r="M83" s="12" t="n">
        <v>9</v>
      </c>
      <c r="N83" s="12" t="n">
        <v>9</v>
      </c>
      <c r="O83" s="12" t="n">
        <v>1</v>
      </c>
      <c r="P83" s="12" t="n">
        <v>8</v>
      </c>
      <c r="Q83" s="12" t="n">
        <v>8</v>
      </c>
      <c r="R83" s="12" t="n">
        <v>9</v>
      </c>
      <c r="S83" s="12" t="n">
        <v>7</v>
      </c>
      <c r="T83" s="12" t="n">
        <v>9</v>
      </c>
      <c r="U83" s="12" t="n">
        <v>8</v>
      </c>
      <c r="V83" s="12" t="n">
        <v>9</v>
      </c>
      <c r="W83" s="12" t="n">
        <v>8</v>
      </c>
      <c r="X83" s="12" t="n">
        <v>7</v>
      </c>
      <c r="Y83" s="12" t="n">
        <v>9</v>
      </c>
      <c r="Z83" s="9" t="s">
        <v>54</v>
      </c>
      <c r="AA83" s="9" t="s">
        <v>47</v>
      </c>
      <c r="AB83" s="12" t="n">
        <v>7</v>
      </c>
      <c r="AC83" s="12" t="n">
        <v>9</v>
      </c>
      <c r="AD83" s="12" t="n">
        <v>7</v>
      </c>
      <c r="AE83" s="12" t="n">
        <v>9</v>
      </c>
      <c r="AF83" s="12" t="n">
        <v>9</v>
      </c>
      <c r="AG83" s="12" t="n">
        <v>5</v>
      </c>
      <c r="AH83" s="11" t="n">
        <f aca="false">IF(COUNT(L83,P83)=2,P83-L83,"")</f>
        <v>-1</v>
      </c>
      <c r="AI83" s="11" t="n">
        <f aca="false">IF(COUNT(M83,Q83)=2,Q83-M83,"")</f>
        <v>-1</v>
      </c>
      <c r="AJ83" s="11" t="n">
        <f aca="false">IF(COUNT(N83,R83)=2,R83-N83,"")</f>
        <v>0</v>
      </c>
      <c r="AK83" s="11" t="n">
        <f aca="false">IF(COUNT(O83,S83)=2,S83-O83,"")</f>
        <v>6</v>
      </c>
      <c r="AL83" s="11" t="n">
        <f aca="false">IF(COUNT(AB83,AC83)=2,AC83-AB83,"")</f>
        <v>2</v>
      </c>
      <c r="AM83" s="11" t="n">
        <f aca="false">IF(COUNT(AD83,AE83)=2,AE83-AD83,"")</f>
        <v>2</v>
      </c>
      <c r="AN83" s="11" t="n">
        <f aca="false">IF(COUNT(F83,H83)=2,H83-F83,"")</f>
        <v>-1.37</v>
      </c>
      <c r="AO83" s="8" t="n">
        <f aca="false">IF(COUNT(E83,F83)=2,(F83-E83)/E83,"")</f>
        <v>0.112526539278132</v>
      </c>
      <c r="AP83" s="8" t="n">
        <f aca="false">IF(COUNT(E83,H83)=2,(H83-E83)/E83,"")</f>
        <v>0.0155697098372257</v>
      </c>
      <c r="AQ83" s="8" t="str">
        <f aca="false">IF(COUNT(E83,G83)=2,(G83-E83)/E83,"")</f>
        <v/>
      </c>
    </row>
    <row r="84" customFormat="false" ht="15" hidden="false" customHeight="true" outlineLevel="0" collapsed="false">
      <c r="A84" s="9" t="s">
        <v>52</v>
      </c>
      <c r="B84" s="9" t="n">
        <v>168</v>
      </c>
      <c r="C84" s="9"/>
      <c r="D84" s="9" t="s">
        <v>58</v>
      </c>
      <c r="E84" s="10" t="n">
        <v>13.45</v>
      </c>
      <c r="F84" s="10" t="n">
        <v>16.65</v>
      </c>
      <c r="G84" s="9"/>
      <c r="H84" s="10" t="n">
        <v>15.25</v>
      </c>
      <c r="I84" s="11" t="n">
        <f aca="false">IF(COUNT(E84,F84)=2,F84-E84,"")</f>
        <v>3.2</v>
      </c>
      <c r="J84" s="11" t="n">
        <f aca="false">IF(COUNT(E84,H84)=2,H84-E84,"")</f>
        <v>1.8</v>
      </c>
      <c r="K84" s="11" t="str">
        <f aca="false">IF(COUNT(F84,G84)=2,F84-G84,"")</f>
        <v/>
      </c>
      <c r="L84" s="9"/>
      <c r="M84" s="9"/>
      <c r="N84" s="9"/>
      <c r="O84" s="9"/>
      <c r="P84" s="12" t="n">
        <v>9</v>
      </c>
      <c r="Q84" s="12" t="n">
        <v>9</v>
      </c>
      <c r="R84" s="12" t="n">
        <v>9</v>
      </c>
      <c r="S84" s="12" t="n">
        <v>1</v>
      </c>
      <c r="T84" s="12" t="n">
        <v>9</v>
      </c>
      <c r="U84" s="12" t="n">
        <v>7</v>
      </c>
      <c r="V84" s="12" t="n">
        <v>9</v>
      </c>
      <c r="W84" s="12" t="n">
        <v>7</v>
      </c>
      <c r="X84" s="12" t="n">
        <v>5</v>
      </c>
      <c r="Y84" s="12" t="n">
        <v>9</v>
      </c>
      <c r="Z84" s="9" t="s">
        <v>46</v>
      </c>
      <c r="AA84" s="9" t="s">
        <v>59</v>
      </c>
      <c r="AB84" s="12" t="n">
        <v>9</v>
      </c>
      <c r="AC84" s="12" t="n">
        <v>8</v>
      </c>
      <c r="AD84" s="12" t="n">
        <v>6</v>
      </c>
      <c r="AE84" s="12" t="n">
        <v>7</v>
      </c>
      <c r="AF84" s="12" t="n">
        <v>7</v>
      </c>
      <c r="AG84" s="12" t="n">
        <v>8</v>
      </c>
      <c r="AH84" s="11" t="str">
        <f aca="false">IF(COUNT(L84,P84)=2,P84-L84,"")</f>
        <v/>
      </c>
      <c r="AI84" s="11" t="str">
        <f aca="false">IF(COUNT(M84,Q84)=2,Q84-M84,"")</f>
        <v/>
      </c>
      <c r="AJ84" s="11" t="str">
        <f aca="false">IF(COUNT(N84,R84)=2,R84-N84,"")</f>
        <v/>
      </c>
      <c r="AK84" s="11" t="str">
        <f aca="false">IF(COUNT(O84,S84)=2,S84-O84,"")</f>
        <v/>
      </c>
      <c r="AL84" s="11" t="n">
        <f aca="false">IF(COUNT(AB84,AC84)=2,AC84-AB84,"")</f>
        <v>-1</v>
      </c>
      <c r="AM84" s="11" t="n">
        <f aca="false">IF(COUNT(AD84,AE84)=2,AE84-AD84,"")</f>
        <v>1</v>
      </c>
      <c r="AN84" s="11" t="n">
        <f aca="false">IF(COUNT(F84,H84)=2,H84-F84,"")</f>
        <v>-1.4</v>
      </c>
      <c r="AO84" s="8" t="n">
        <f aca="false">IF(COUNT(E84,F84)=2,(F84-E84)/E84,"")</f>
        <v>0.237918215613383</v>
      </c>
      <c r="AP84" s="8" t="n">
        <f aca="false">IF(COUNT(E84,H84)=2,(H84-E84)/E84,"")</f>
        <v>0.133828996282528</v>
      </c>
      <c r="AQ84" s="8" t="str">
        <f aca="false">IF(COUNT(E84,G84)=2,(G84-E84)/E84,"")</f>
        <v/>
      </c>
    </row>
    <row r="85" customFormat="false" ht="15" hidden="false" customHeight="true" outlineLevel="0" collapsed="false">
      <c r="A85" s="9" t="s">
        <v>52</v>
      </c>
      <c r="B85" s="9" t="n">
        <v>169</v>
      </c>
      <c r="C85" s="9" t="s">
        <v>48</v>
      </c>
      <c r="D85" s="9" t="s">
        <v>57</v>
      </c>
      <c r="E85" s="10" t="n">
        <v>14.31</v>
      </c>
      <c r="F85" s="10" t="n">
        <v>14.09</v>
      </c>
      <c r="G85" s="9"/>
      <c r="H85" s="10" t="n">
        <v>14.75</v>
      </c>
      <c r="I85" s="11" t="n">
        <f aca="false">IF(COUNT(E85,F85)=2,F85-E85,"")</f>
        <v>-0.220000000000001</v>
      </c>
      <c r="J85" s="11" t="n">
        <f aca="false">IF(COUNT(E85,H85)=2,H85-E85,"")</f>
        <v>0.44</v>
      </c>
      <c r="K85" s="11" t="str">
        <f aca="false">IF(COUNT(F85,G85)=2,F85-G85,"")</f>
        <v/>
      </c>
      <c r="L85" s="12" t="n">
        <v>7</v>
      </c>
      <c r="M85" s="12" t="n">
        <v>6</v>
      </c>
      <c r="N85" s="12" t="n">
        <v>6</v>
      </c>
      <c r="O85" s="12" t="n">
        <v>6</v>
      </c>
      <c r="P85" s="12" t="n">
        <v>4</v>
      </c>
      <c r="Q85" s="12" t="n">
        <v>3</v>
      </c>
      <c r="R85" s="12" t="n">
        <v>5</v>
      </c>
      <c r="S85" s="12" t="n">
        <v>7</v>
      </c>
      <c r="T85" s="12" t="n">
        <v>5</v>
      </c>
      <c r="U85" s="12" t="n">
        <v>7</v>
      </c>
      <c r="V85" s="12" t="n">
        <v>7</v>
      </c>
      <c r="W85" s="12" t="n">
        <v>7</v>
      </c>
      <c r="X85" s="12" t="n">
        <v>4</v>
      </c>
      <c r="Y85" s="12" t="n">
        <v>7</v>
      </c>
      <c r="Z85" s="9" t="s">
        <v>54</v>
      </c>
      <c r="AA85" s="9" t="s">
        <v>47</v>
      </c>
      <c r="AB85" s="12" t="n">
        <v>3</v>
      </c>
      <c r="AC85" s="12" t="n">
        <v>7</v>
      </c>
      <c r="AD85" s="12" t="n">
        <v>2</v>
      </c>
      <c r="AE85" s="12" t="n">
        <v>6</v>
      </c>
      <c r="AF85" s="12" t="n">
        <v>7</v>
      </c>
      <c r="AG85" s="12" t="n">
        <v>7</v>
      </c>
      <c r="AH85" s="11" t="n">
        <f aca="false">IF(COUNT(L85,P85)=2,P85-L85,"")</f>
        <v>-3</v>
      </c>
      <c r="AI85" s="11" t="n">
        <f aca="false">IF(COUNT(M85,Q85)=2,Q85-M85,"")</f>
        <v>-3</v>
      </c>
      <c r="AJ85" s="11" t="n">
        <f aca="false">IF(COUNT(N85,R85)=2,R85-N85,"")</f>
        <v>-1</v>
      </c>
      <c r="AK85" s="11" t="n">
        <f aca="false">IF(COUNT(O85,S85)=2,S85-O85,"")</f>
        <v>1</v>
      </c>
      <c r="AL85" s="11" t="n">
        <f aca="false">IF(COUNT(AB85,AC85)=2,AC85-AB85,"")</f>
        <v>4</v>
      </c>
      <c r="AM85" s="11" t="n">
        <f aca="false">IF(COUNT(AD85,AE85)=2,AE85-AD85,"")</f>
        <v>4</v>
      </c>
      <c r="AN85" s="11" t="n">
        <f aca="false">IF(COUNT(F85,H85)=2,H85-F85,"")</f>
        <v>0.66</v>
      </c>
      <c r="AO85" s="8" t="n">
        <f aca="false">IF(COUNT(E85,F85)=2,(F85-E85)/E85,"")</f>
        <v>-0.0153738644304682</v>
      </c>
      <c r="AP85" s="8" t="n">
        <f aca="false">IF(COUNT(E85,H85)=2,(H85-E85)/E85,"")</f>
        <v>0.0307477288609364</v>
      </c>
      <c r="AQ85" s="8" t="str">
        <f aca="false">IF(COUNT(E85,G85)=2,(G85-E85)/E85,"")</f>
        <v/>
      </c>
    </row>
    <row r="86" customFormat="false" ht="15" hidden="false" customHeight="true" outlineLevel="0" collapsed="false">
      <c r="A86" s="9" t="s">
        <v>52</v>
      </c>
      <c r="B86" s="9" t="n">
        <v>170</v>
      </c>
      <c r="C86" s="9" t="s">
        <v>48</v>
      </c>
      <c r="D86" s="9"/>
      <c r="E86" s="10" t="n">
        <v>14.5</v>
      </c>
      <c r="F86" s="10" t="n">
        <v>14.53</v>
      </c>
      <c r="G86" s="9"/>
      <c r="H86" s="10" t="n">
        <v>15.44</v>
      </c>
      <c r="I86" s="11" t="n">
        <f aca="false">IF(COUNT(E86,F86)=2,F86-E86,"")</f>
        <v>0.0299999999999994</v>
      </c>
      <c r="J86" s="11" t="n">
        <f aca="false">IF(COUNT(E86,H86)=2,H86-E86,"")</f>
        <v>0.94</v>
      </c>
      <c r="K86" s="11" t="str">
        <f aca="false">IF(COUNT(F86,G86)=2,F86-G86,"")</f>
        <v/>
      </c>
      <c r="L86" s="12" t="n">
        <v>9</v>
      </c>
      <c r="M86" s="12" t="n">
        <v>9</v>
      </c>
      <c r="N86" s="12" t="n">
        <v>8</v>
      </c>
      <c r="O86" s="12" t="n">
        <v>8</v>
      </c>
      <c r="P86" s="12" t="n">
        <v>6</v>
      </c>
      <c r="Q86" s="12" t="n">
        <v>5</v>
      </c>
      <c r="R86" s="12" t="n">
        <v>5</v>
      </c>
      <c r="S86" s="12" t="n">
        <v>6</v>
      </c>
      <c r="T86" s="12" t="n">
        <v>5</v>
      </c>
      <c r="U86" s="12" t="n">
        <v>7</v>
      </c>
      <c r="V86" s="12" t="n">
        <v>8</v>
      </c>
      <c r="W86" s="12" t="n">
        <v>6</v>
      </c>
      <c r="X86" s="12" t="n">
        <v>5</v>
      </c>
      <c r="Y86" s="12" t="n">
        <v>7</v>
      </c>
      <c r="Z86" s="9" t="s">
        <v>54</v>
      </c>
      <c r="AA86" s="9" t="s">
        <v>47</v>
      </c>
      <c r="AB86" s="12" t="n">
        <v>5</v>
      </c>
      <c r="AC86" s="12" t="n">
        <v>7</v>
      </c>
      <c r="AD86" s="12" t="n">
        <v>5</v>
      </c>
      <c r="AE86" s="12" t="n">
        <v>7</v>
      </c>
      <c r="AF86" s="12" t="n">
        <v>9</v>
      </c>
      <c r="AG86" s="12" t="n">
        <v>8</v>
      </c>
      <c r="AH86" s="11" t="n">
        <f aca="false">IF(COUNT(L86,P86)=2,P86-L86,"")</f>
        <v>-3</v>
      </c>
      <c r="AI86" s="11" t="n">
        <f aca="false">IF(COUNT(M86,Q86)=2,Q86-M86,"")</f>
        <v>-4</v>
      </c>
      <c r="AJ86" s="11" t="n">
        <f aca="false">IF(COUNT(N86,R86)=2,R86-N86,"")</f>
        <v>-3</v>
      </c>
      <c r="AK86" s="11" t="n">
        <f aca="false">IF(COUNT(O86,S86)=2,S86-O86,"")</f>
        <v>-2</v>
      </c>
      <c r="AL86" s="11" t="n">
        <f aca="false">IF(COUNT(AB86,AC86)=2,AC86-AB86,"")</f>
        <v>2</v>
      </c>
      <c r="AM86" s="11" t="n">
        <f aca="false">IF(COUNT(AD86,AE86)=2,AE86-AD86,"")</f>
        <v>2</v>
      </c>
      <c r="AN86" s="11" t="n">
        <f aca="false">IF(COUNT(F86,H86)=2,H86-F86,"")</f>
        <v>0.91</v>
      </c>
      <c r="AO86" s="8" t="n">
        <f aca="false">IF(COUNT(E86,F86)=2,(F86-E86)/E86,"")</f>
        <v>0.00206896551724134</v>
      </c>
      <c r="AP86" s="8" t="n">
        <f aca="false">IF(COUNT(E86,H86)=2,(H86-E86)/E86,"")</f>
        <v>0.0648275862068965</v>
      </c>
      <c r="AQ86" s="8" t="str">
        <f aca="false">IF(COUNT(E86,G86)=2,(G86-E86)/E86,"")</f>
        <v/>
      </c>
    </row>
    <row r="87" customFormat="false" ht="15" hidden="false" customHeight="true" outlineLevel="0" collapsed="false">
      <c r="A87" s="9" t="s">
        <v>52</v>
      </c>
      <c r="B87" s="9" t="n">
        <v>171</v>
      </c>
      <c r="C87" s="9" t="s">
        <v>48</v>
      </c>
      <c r="D87" s="9" t="s">
        <v>60</v>
      </c>
      <c r="E87" s="10" t="n">
        <v>11.6</v>
      </c>
      <c r="F87" s="10" t="n">
        <v>12.97</v>
      </c>
      <c r="G87" s="9"/>
      <c r="H87" s="10" t="n">
        <v>14.72</v>
      </c>
      <c r="I87" s="11" t="n">
        <f aca="false">IF(COUNT(E87,F87)=2,F87-E87,"")</f>
        <v>1.37</v>
      </c>
      <c r="J87" s="11" t="n">
        <f aca="false">IF(COUNT(E87,H87)=2,H87-E87,"")</f>
        <v>3.12</v>
      </c>
      <c r="K87" s="11" t="str">
        <f aca="false">IF(COUNT(F87,G87)=2,F87-G87,"")</f>
        <v/>
      </c>
      <c r="L87" s="12" t="n">
        <v>9</v>
      </c>
      <c r="M87" s="12" t="n">
        <v>9</v>
      </c>
      <c r="N87" s="12" t="n">
        <v>9</v>
      </c>
      <c r="O87" s="12" t="n">
        <v>1</v>
      </c>
      <c r="P87" s="12" t="n">
        <v>9</v>
      </c>
      <c r="Q87" s="12" t="n">
        <v>9</v>
      </c>
      <c r="R87" s="12" t="n">
        <v>9</v>
      </c>
      <c r="S87" s="12" t="n">
        <v>1</v>
      </c>
      <c r="T87" s="12" t="n">
        <v>9</v>
      </c>
      <c r="U87" s="12" t="n">
        <v>9</v>
      </c>
      <c r="V87" s="12" t="n">
        <v>8</v>
      </c>
      <c r="W87" s="12" t="n">
        <v>8</v>
      </c>
      <c r="X87" s="12" t="n">
        <v>1</v>
      </c>
      <c r="Y87" s="12" t="n">
        <v>9</v>
      </c>
      <c r="Z87" s="9" t="s">
        <v>46</v>
      </c>
      <c r="AA87" s="9" t="s">
        <v>59</v>
      </c>
      <c r="AB87" s="12" t="n">
        <v>9</v>
      </c>
      <c r="AC87" s="12" t="n">
        <v>7</v>
      </c>
      <c r="AD87" s="12" t="n">
        <v>9</v>
      </c>
      <c r="AE87" s="12" t="n">
        <v>7</v>
      </c>
      <c r="AF87" s="12" t="n">
        <v>9</v>
      </c>
      <c r="AG87" s="12" t="n">
        <v>9</v>
      </c>
      <c r="AH87" s="11" t="n">
        <f aca="false">IF(COUNT(L87,P87)=2,P87-L87,"")</f>
        <v>0</v>
      </c>
      <c r="AI87" s="11" t="n">
        <f aca="false">IF(COUNT(M87,Q87)=2,Q87-M87,"")</f>
        <v>0</v>
      </c>
      <c r="AJ87" s="11" t="n">
        <f aca="false">IF(COUNT(N87,R87)=2,R87-N87,"")</f>
        <v>0</v>
      </c>
      <c r="AK87" s="11" t="n">
        <f aca="false">IF(COUNT(O87,S87)=2,S87-O87,"")</f>
        <v>0</v>
      </c>
      <c r="AL87" s="11" t="n">
        <f aca="false">IF(COUNT(AB87,AC87)=2,AC87-AB87,"")</f>
        <v>-2</v>
      </c>
      <c r="AM87" s="11" t="n">
        <f aca="false">IF(COUNT(AD87,AE87)=2,AE87-AD87,"")</f>
        <v>-2</v>
      </c>
      <c r="AN87" s="11" t="n">
        <f aca="false">IF(COUNT(F87,H87)=2,H87-F87,"")</f>
        <v>1.75</v>
      </c>
      <c r="AO87" s="8" t="n">
        <f aca="false">IF(COUNT(E87,F87)=2,(F87-E87)/E87,"")</f>
        <v>0.118103448275862</v>
      </c>
      <c r="AP87" s="8" t="n">
        <f aca="false">IF(COUNT(E87,H87)=2,(H87-E87)/E87,"")</f>
        <v>0.268965517241379</v>
      </c>
      <c r="AQ87" s="8" t="str">
        <f aca="false">IF(COUNT(E87,G87)=2,(G87-E87)/E87,"")</f>
        <v/>
      </c>
    </row>
    <row r="88" customFormat="false" ht="15" hidden="false" customHeight="true" outlineLevel="0" collapsed="false">
      <c r="A88" s="9" t="s">
        <v>52</v>
      </c>
      <c r="B88" s="9" t="n">
        <v>172</v>
      </c>
      <c r="C88" s="9" t="s">
        <v>48</v>
      </c>
      <c r="D88" s="9" t="s">
        <v>53</v>
      </c>
      <c r="E88" s="10" t="n">
        <v>18.25</v>
      </c>
      <c r="F88" s="10" t="n">
        <v>20.78</v>
      </c>
      <c r="G88" s="9"/>
      <c r="H88" s="10" t="n">
        <v>18.53</v>
      </c>
      <c r="I88" s="11" t="n">
        <f aca="false">IF(COUNT(E88,F88)=2,F88-E88,"")</f>
        <v>2.53</v>
      </c>
      <c r="J88" s="11" t="n">
        <f aca="false">IF(COUNT(E88,H88)=2,H88-E88,"")</f>
        <v>0.280000000000001</v>
      </c>
      <c r="K88" s="11" t="str">
        <f aca="false">IF(COUNT(F88,G88)=2,F88-G88,"")</f>
        <v/>
      </c>
      <c r="L88" s="12" t="n">
        <v>8</v>
      </c>
      <c r="M88" s="12" t="n">
        <v>9</v>
      </c>
      <c r="N88" s="12" t="n">
        <v>8</v>
      </c>
      <c r="O88" s="12" t="n">
        <v>1</v>
      </c>
      <c r="P88" s="12" t="n">
        <v>6</v>
      </c>
      <c r="Q88" s="12" t="n">
        <v>7</v>
      </c>
      <c r="R88" s="12" t="n">
        <v>8</v>
      </c>
      <c r="S88" s="12" t="n">
        <v>1</v>
      </c>
      <c r="T88" s="12" t="n">
        <v>7</v>
      </c>
      <c r="U88" s="12" t="n">
        <v>9</v>
      </c>
      <c r="V88" s="12" t="n">
        <v>9</v>
      </c>
      <c r="W88" s="12" t="n">
        <v>9</v>
      </c>
      <c r="X88" s="12" t="n">
        <v>1</v>
      </c>
      <c r="Y88" s="12" t="n">
        <v>9</v>
      </c>
      <c r="Z88" s="9" t="s">
        <v>46</v>
      </c>
      <c r="AA88" s="9" t="s">
        <v>47</v>
      </c>
      <c r="AB88" s="12" t="n">
        <v>7</v>
      </c>
      <c r="AC88" s="12" t="n">
        <v>9</v>
      </c>
      <c r="AD88" s="12" t="n">
        <v>7</v>
      </c>
      <c r="AE88" s="12" t="n">
        <v>9</v>
      </c>
      <c r="AF88" s="12" t="n">
        <v>6</v>
      </c>
      <c r="AG88" s="12" t="n">
        <v>9</v>
      </c>
      <c r="AH88" s="11" t="n">
        <f aca="false">IF(COUNT(L88,P88)=2,P88-L88,"")</f>
        <v>-2</v>
      </c>
      <c r="AI88" s="11" t="n">
        <f aca="false">IF(COUNT(M88,Q88)=2,Q88-M88,"")</f>
        <v>-2</v>
      </c>
      <c r="AJ88" s="11" t="n">
        <f aca="false">IF(COUNT(N88,R88)=2,R88-N88,"")</f>
        <v>0</v>
      </c>
      <c r="AK88" s="11" t="n">
        <f aca="false">IF(COUNT(O88,S88)=2,S88-O88,"")</f>
        <v>0</v>
      </c>
      <c r="AL88" s="11" t="n">
        <f aca="false">IF(COUNT(AB88,AC88)=2,AC88-AB88,"")</f>
        <v>2</v>
      </c>
      <c r="AM88" s="11" t="n">
        <f aca="false">IF(COUNT(AD88,AE88)=2,AE88-AD88,"")</f>
        <v>2</v>
      </c>
      <c r="AN88" s="11" t="n">
        <f aca="false">IF(COUNT(F88,H88)=2,H88-F88,"")</f>
        <v>-2.25</v>
      </c>
      <c r="AO88" s="8" t="n">
        <f aca="false">IF(COUNT(E88,F88)=2,(F88-E88)/E88,"")</f>
        <v>0.138630136986301</v>
      </c>
      <c r="AP88" s="8" t="n">
        <f aca="false">IF(COUNT(E88,H88)=2,(H88-E88)/E88,"")</f>
        <v>0.0153424657534247</v>
      </c>
      <c r="AQ88" s="8" t="str">
        <f aca="false">IF(COUNT(E88,G88)=2,(G88-E88)/E88,"")</f>
        <v/>
      </c>
    </row>
    <row r="89" customFormat="false" ht="15" hidden="false" customHeight="true" outlineLevel="0" collapsed="false">
      <c r="A89" s="9" t="s">
        <v>52</v>
      </c>
      <c r="B89" s="9" t="n">
        <v>173</v>
      </c>
      <c r="C89" s="9" t="s">
        <v>48</v>
      </c>
      <c r="D89" s="9" t="s">
        <v>58</v>
      </c>
      <c r="E89" s="10" t="n">
        <v>13.62</v>
      </c>
      <c r="F89" s="10" t="n">
        <v>17.75</v>
      </c>
      <c r="G89" s="9"/>
      <c r="H89" s="10" t="n">
        <v>14.22</v>
      </c>
      <c r="I89" s="11" t="n">
        <f aca="false">IF(COUNT(E89,F89)=2,F89-E89,"")</f>
        <v>4.13</v>
      </c>
      <c r="J89" s="11" t="n">
        <f aca="false">IF(COUNT(E89,H89)=2,H89-E89,"")</f>
        <v>0.600000000000001</v>
      </c>
      <c r="K89" s="11" t="str">
        <f aca="false">IF(COUNT(F89,G89)=2,F89-G89,"")</f>
        <v/>
      </c>
      <c r="L89" s="12" t="n">
        <v>9</v>
      </c>
      <c r="M89" s="12" t="n">
        <v>9</v>
      </c>
      <c r="N89" s="12" t="n">
        <v>9</v>
      </c>
      <c r="O89" s="12" t="n">
        <v>4</v>
      </c>
      <c r="P89" s="12" t="n">
        <v>8</v>
      </c>
      <c r="Q89" s="12" t="n">
        <v>9</v>
      </c>
      <c r="R89" s="12" t="n">
        <v>7</v>
      </c>
      <c r="S89" s="12" t="n">
        <v>8</v>
      </c>
      <c r="T89" s="12" t="n">
        <v>8</v>
      </c>
      <c r="U89" s="12" t="n">
        <v>8</v>
      </c>
      <c r="V89" s="12" t="n">
        <v>8</v>
      </c>
      <c r="W89" s="12" t="n">
        <v>9</v>
      </c>
      <c r="X89" s="12" t="n">
        <v>4</v>
      </c>
      <c r="Y89" s="12" t="n">
        <v>9</v>
      </c>
      <c r="Z89" s="9" t="s">
        <v>46</v>
      </c>
      <c r="AA89" s="9" t="s">
        <v>56</v>
      </c>
      <c r="AB89" s="12" t="n">
        <v>7</v>
      </c>
      <c r="AC89" s="12" t="n">
        <v>8</v>
      </c>
      <c r="AD89" s="12" t="n">
        <v>6</v>
      </c>
      <c r="AE89" s="12" t="n">
        <v>7</v>
      </c>
      <c r="AF89" s="12" t="n">
        <v>9</v>
      </c>
      <c r="AG89" s="12" t="n">
        <v>6</v>
      </c>
      <c r="AH89" s="11" t="n">
        <f aca="false">IF(COUNT(L89,P89)=2,P89-L89,"")</f>
        <v>-1</v>
      </c>
      <c r="AI89" s="11" t="n">
        <f aca="false">IF(COUNT(M89,Q89)=2,Q89-M89,"")</f>
        <v>0</v>
      </c>
      <c r="AJ89" s="11" t="n">
        <f aca="false">IF(COUNT(N89,R89)=2,R89-N89,"")</f>
        <v>-2</v>
      </c>
      <c r="AK89" s="11" t="n">
        <f aca="false">IF(COUNT(O89,S89)=2,S89-O89,"")</f>
        <v>4</v>
      </c>
      <c r="AL89" s="11" t="n">
        <f aca="false">IF(COUNT(AB89,AC89)=2,AC89-AB89,"")</f>
        <v>1</v>
      </c>
      <c r="AM89" s="11" t="n">
        <f aca="false">IF(COUNT(AD89,AE89)=2,AE89-AD89,"")</f>
        <v>1</v>
      </c>
      <c r="AN89" s="11" t="n">
        <f aca="false">IF(COUNT(F89,H89)=2,H89-F89,"")</f>
        <v>-3.53</v>
      </c>
      <c r="AO89" s="8" t="n">
        <f aca="false">IF(COUNT(E89,F89)=2,(F89-E89)/E89,"")</f>
        <v>0.303230543318649</v>
      </c>
      <c r="AP89" s="8" t="n">
        <f aca="false">IF(COUNT(E89,H89)=2,(H89-E89)/E89,"")</f>
        <v>0.0440528634361235</v>
      </c>
      <c r="AQ89" s="8" t="str">
        <f aca="false">IF(COUNT(E89,G89)=2,(G89-E89)/E89,"")</f>
        <v/>
      </c>
    </row>
    <row r="90" customFormat="false" ht="15" hidden="false" customHeight="true" outlineLevel="0" collapsed="false">
      <c r="A90" s="9" t="s">
        <v>52</v>
      </c>
      <c r="B90" s="9" t="n">
        <v>174</v>
      </c>
      <c r="C90" s="9" t="s">
        <v>48</v>
      </c>
      <c r="D90" s="9" t="s">
        <v>55</v>
      </c>
      <c r="E90" s="10" t="n">
        <v>14.5</v>
      </c>
      <c r="F90" s="10" t="n">
        <v>14.22</v>
      </c>
      <c r="G90" s="9"/>
      <c r="H90" s="10" t="n">
        <v>15.16</v>
      </c>
      <c r="I90" s="11" t="n">
        <f aca="false">IF(COUNT(E90,F90)=2,F90-E90,"")</f>
        <v>-0.279999999999999</v>
      </c>
      <c r="J90" s="11" t="n">
        <f aca="false">IF(COUNT(E90,H90)=2,H90-E90,"")</f>
        <v>0.66</v>
      </c>
      <c r="K90" s="11" t="str">
        <f aca="false">IF(COUNT(F90,G90)=2,F90-G90,"")</f>
        <v/>
      </c>
      <c r="L90" s="12" t="n">
        <v>9</v>
      </c>
      <c r="M90" s="12" t="n">
        <v>9</v>
      </c>
      <c r="N90" s="12" t="n">
        <v>9</v>
      </c>
      <c r="O90" s="12" t="n">
        <v>1</v>
      </c>
      <c r="P90" s="12" t="n">
        <v>8</v>
      </c>
      <c r="Q90" s="12" t="n">
        <v>8</v>
      </c>
      <c r="R90" s="12" t="n">
        <v>8</v>
      </c>
      <c r="S90" s="12" t="n">
        <v>1</v>
      </c>
      <c r="T90" s="12" t="n">
        <v>8</v>
      </c>
      <c r="U90" s="12" t="n">
        <v>8</v>
      </c>
      <c r="V90" s="12" t="n">
        <v>8</v>
      </c>
      <c r="W90" s="12" t="n">
        <v>8</v>
      </c>
      <c r="X90" s="12" t="n">
        <v>5</v>
      </c>
      <c r="Y90" s="12" t="n">
        <v>8</v>
      </c>
      <c r="Z90" s="9" t="s">
        <v>46</v>
      </c>
      <c r="AA90" s="9" t="s">
        <v>59</v>
      </c>
      <c r="AB90" s="12" t="n">
        <v>8</v>
      </c>
      <c r="AC90" s="12" t="n">
        <v>8</v>
      </c>
      <c r="AD90" s="12" t="n">
        <v>8</v>
      </c>
      <c r="AE90" s="12" t="n">
        <v>8</v>
      </c>
      <c r="AF90" s="12" t="n">
        <v>9</v>
      </c>
      <c r="AG90" s="12" t="n">
        <v>8</v>
      </c>
      <c r="AH90" s="11" t="n">
        <f aca="false">IF(COUNT(L90,P90)=2,P90-L90,"")</f>
        <v>-1</v>
      </c>
      <c r="AI90" s="11" t="n">
        <f aca="false">IF(COUNT(M90,Q90)=2,Q90-M90,"")</f>
        <v>-1</v>
      </c>
      <c r="AJ90" s="11" t="n">
        <f aca="false">IF(COUNT(N90,R90)=2,R90-N90,"")</f>
        <v>-1</v>
      </c>
      <c r="AK90" s="11" t="n">
        <f aca="false">IF(COUNT(O90,S90)=2,S90-O90,"")</f>
        <v>0</v>
      </c>
      <c r="AL90" s="11" t="n">
        <f aca="false">IF(COUNT(AB90,AC90)=2,AC90-AB90,"")</f>
        <v>0</v>
      </c>
      <c r="AM90" s="11" t="n">
        <f aca="false">IF(COUNT(AD90,AE90)=2,AE90-AD90,"")</f>
        <v>0</v>
      </c>
      <c r="AN90" s="11" t="n">
        <f aca="false">IF(COUNT(F90,H90)=2,H90-F90,"")</f>
        <v>0.94</v>
      </c>
      <c r="AO90" s="8" t="n">
        <f aca="false">IF(COUNT(E90,F90)=2,(F90-E90)/E90,"")</f>
        <v>-0.0193103448275862</v>
      </c>
      <c r="AP90" s="8" t="n">
        <f aca="false">IF(COUNT(E90,H90)=2,(H90-E90)/E90,"")</f>
        <v>0.0455172413793104</v>
      </c>
      <c r="AQ90" s="8" t="str">
        <f aca="false">IF(COUNT(E90,G90)=2,(G90-E90)/E90,"")</f>
        <v/>
      </c>
    </row>
    <row r="91" customFormat="false" ht="15" hidden="false" customHeight="true" outlineLevel="0" collapsed="false">
      <c r="A91" s="9" t="s">
        <v>52</v>
      </c>
      <c r="B91" s="9" t="n">
        <v>175</v>
      </c>
      <c r="C91" s="9" t="s">
        <v>44</v>
      </c>
      <c r="D91" s="9" t="s">
        <v>52</v>
      </c>
      <c r="E91" s="10" t="n">
        <v>12.28</v>
      </c>
      <c r="F91" s="10" t="n">
        <v>14.5</v>
      </c>
      <c r="G91" s="9"/>
      <c r="H91" s="10" t="n">
        <v>14.37</v>
      </c>
      <c r="I91" s="11" t="n">
        <f aca="false">IF(COUNT(E91,F91)=2,F91-E91,"")</f>
        <v>2.22</v>
      </c>
      <c r="J91" s="11" t="n">
        <f aca="false">IF(COUNT(E91,H91)=2,H91-E91,"")</f>
        <v>2.09</v>
      </c>
      <c r="K91" s="11" t="str">
        <f aca="false">IF(COUNT(F91,G91)=2,F91-G91,"")</f>
        <v/>
      </c>
      <c r="L91" s="12" t="n">
        <v>7</v>
      </c>
      <c r="M91" s="12" t="n">
        <v>9</v>
      </c>
      <c r="N91" s="12" t="n">
        <v>9</v>
      </c>
      <c r="O91" s="12" t="n">
        <v>7</v>
      </c>
      <c r="P91" s="12" t="n">
        <v>9</v>
      </c>
      <c r="Q91" s="12" t="n">
        <v>7</v>
      </c>
      <c r="R91" s="12" t="n">
        <v>9</v>
      </c>
      <c r="S91" s="12" t="n">
        <v>3</v>
      </c>
      <c r="T91" s="12" t="n">
        <v>9</v>
      </c>
      <c r="U91" s="12" t="n">
        <v>9</v>
      </c>
      <c r="V91" s="12" t="n">
        <v>9</v>
      </c>
      <c r="W91" s="12" t="n">
        <v>9</v>
      </c>
      <c r="X91" s="12" t="n">
        <v>1</v>
      </c>
      <c r="Y91" s="12" t="n">
        <v>9</v>
      </c>
      <c r="Z91" s="9" t="s">
        <v>46</v>
      </c>
      <c r="AA91" s="9" t="s">
        <v>47</v>
      </c>
      <c r="AB91" s="12" t="n">
        <v>8</v>
      </c>
      <c r="AC91" s="12" t="n">
        <v>9</v>
      </c>
      <c r="AD91" s="12" t="n">
        <v>8</v>
      </c>
      <c r="AE91" s="12" t="n">
        <v>9</v>
      </c>
      <c r="AF91" s="12" t="n">
        <v>9</v>
      </c>
      <c r="AG91" s="12" t="n">
        <v>9</v>
      </c>
      <c r="AH91" s="11" t="n">
        <f aca="false">IF(COUNT(L91,P91)=2,P91-L91,"")</f>
        <v>2</v>
      </c>
      <c r="AI91" s="11" t="n">
        <f aca="false">IF(COUNT(M91,Q91)=2,Q91-M91,"")</f>
        <v>-2</v>
      </c>
      <c r="AJ91" s="11" t="n">
        <f aca="false">IF(COUNT(N91,R91)=2,R91-N91,"")</f>
        <v>0</v>
      </c>
      <c r="AK91" s="11" t="n">
        <f aca="false">IF(COUNT(O91,S91)=2,S91-O91,"")</f>
        <v>-4</v>
      </c>
      <c r="AL91" s="11" t="n">
        <f aca="false">IF(COUNT(AB91,AC91)=2,AC91-AB91,"")</f>
        <v>1</v>
      </c>
      <c r="AM91" s="11" t="n">
        <f aca="false">IF(COUNT(AD91,AE91)=2,AE91-AD91,"")</f>
        <v>1</v>
      </c>
      <c r="AN91" s="11" t="n">
        <f aca="false">IF(COUNT(F91,H91)=2,H91-F91,"")</f>
        <v>-0.130000000000001</v>
      </c>
      <c r="AO91" s="8" t="n">
        <f aca="false">IF(COUNT(E91,F91)=2,(F91-E91)/E91,"")</f>
        <v>0.180781758957655</v>
      </c>
      <c r="AP91" s="8" t="n">
        <f aca="false">IF(COUNT(E91,H91)=2,(H91-E91)/E91,"")</f>
        <v>0.170195439739414</v>
      </c>
      <c r="AQ91" s="8" t="str">
        <f aca="false">IF(COUNT(E91,G91)=2,(G91-E91)/E91,"")</f>
        <v/>
      </c>
    </row>
    <row r="92" customFormat="false" ht="15" hidden="false" customHeight="true" outlineLevel="0" collapsed="false">
      <c r="A92" s="9" t="s">
        <v>52</v>
      </c>
      <c r="B92" s="9" t="n">
        <v>176</v>
      </c>
      <c r="C92" s="9" t="s">
        <v>48</v>
      </c>
      <c r="D92" s="9" t="s">
        <v>53</v>
      </c>
      <c r="E92" s="10" t="n">
        <v>15.72</v>
      </c>
      <c r="F92" s="10" t="n">
        <v>16.84</v>
      </c>
      <c r="G92" s="9"/>
      <c r="H92" s="10" t="n">
        <v>21.32</v>
      </c>
      <c r="I92" s="11" t="n">
        <f aca="false">IF(COUNT(E92,F92)=2,F92-E92,"")</f>
        <v>1.12</v>
      </c>
      <c r="J92" s="11" t="n">
        <f aca="false">IF(COUNT(E92,H92)=2,H92-E92,"")</f>
        <v>5.6</v>
      </c>
      <c r="K92" s="11" t="str">
        <f aca="false">IF(COUNT(F92,G92)=2,F92-G92,"")</f>
        <v/>
      </c>
      <c r="L92" s="12" t="n">
        <v>6</v>
      </c>
      <c r="M92" s="12" t="n">
        <v>9</v>
      </c>
      <c r="N92" s="12" t="n">
        <v>9</v>
      </c>
      <c r="O92" s="12" t="n">
        <v>3</v>
      </c>
      <c r="P92" s="12" t="n">
        <v>9</v>
      </c>
      <c r="Q92" s="12" t="n">
        <v>9</v>
      </c>
      <c r="R92" s="12" t="n">
        <v>9</v>
      </c>
      <c r="S92" s="12" t="n">
        <v>2</v>
      </c>
      <c r="T92" s="12" t="n">
        <v>9</v>
      </c>
      <c r="U92" s="12" t="n">
        <v>9</v>
      </c>
      <c r="V92" s="12" t="n">
        <v>9</v>
      </c>
      <c r="W92" s="12" t="n">
        <v>9</v>
      </c>
      <c r="X92" s="12" t="n">
        <v>1</v>
      </c>
      <c r="Y92" s="12" t="n">
        <v>9</v>
      </c>
      <c r="Z92" s="9" t="s">
        <v>46</v>
      </c>
      <c r="AA92" s="9" t="s">
        <v>47</v>
      </c>
      <c r="AB92" s="12" t="n">
        <v>9</v>
      </c>
      <c r="AC92" s="12" t="n">
        <v>9</v>
      </c>
      <c r="AD92" s="12" t="n">
        <v>5</v>
      </c>
      <c r="AE92" s="12" t="n">
        <v>6</v>
      </c>
      <c r="AF92" s="12" t="n">
        <v>7</v>
      </c>
      <c r="AG92" s="12" t="n">
        <v>7</v>
      </c>
      <c r="AH92" s="11" t="n">
        <f aca="false">IF(COUNT(L92,P92)=2,P92-L92,"")</f>
        <v>3</v>
      </c>
      <c r="AI92" s="11" t="n">
        <f aca="false">IF(COUNT(M92,Q92)=2,Q92-M92,"")</f>
        <v>0</v>
      </c>
      <c r="AJ92" s="11" t="n">
        <f aca="false">IF(COUNT(N92,R92)=2,R92-N92,"")</f>
        <v>0</v>
      </c>
      <c r="AK92" s="11" t="n">
        <f aca="false">IF(COUNT(O92,S92)=2,S92-O92,"")</f>
        <v>-1</v>
      </c>
      <c r="AL92" s="11" t="n">
        <f aca="false">IF(COUNT(AB92,AC92)=2,AC92-AB92,"")</f>
        <v>0</v>
      </c>
      <c r="AM92" s="11" t="n">
        <f aca="false">IF(COUNT(AD92,AE92)=2,AE92-AD92,"")</f>
        <v>1</v>
      </c>
      <c r="AN92" s="11" t="n">
        <f aca="false">IF(COUNT(F92,H92)=2,H92-F92,"")</f>
        <v>4.48</v>
      </c>
      <c r="AO92" s="8" t="n">
        <f aca="false">IF(COUNT(E92,F92)=2,(F92-E92)/E92,"")</f>
        <v>0.0712468193384223</v>
      </c>
      <c r="AP92" s="8" t="n">
        <f aca="false">IF(COUNT(E92,H92)=2,(H92-E92)/E92,"")</f>
        <v>0.356234096692112</v>
      </c>
      <c r="AQ92" s="8" t="str">
        <f aca="false">IF(COUNT(E92,G92)=2,(G92-E92)/E92,"")</f>
        <v/>
      </c>
    </row>
    <row r="93" customFormat="false" ht="15" hidden="false" customHeight="true" outlineLevel="0" collapsed="false">
      <c r="A93" s="9" t="s">
        <v>52</v>
      </c>
      <c r="B93" s="9" t="n">
        <v>177</v>
      </c>
      <c r="C93" s="9" t="s">
        <v>48</v>
      </c>
      <c r="D93" s="9" t="s">
        <v>58</v>
      </c>
      <c r="E93" s="10" t="n">
        <v>20.97</v>
      </c>
      <c r="F93" s="10" t="n">
        <v>21.06</v>
      </c>
      <c r="G93" s="9"/>
      <c r="H93" s="10" t="n">
        <v>22.72</v>
      </c>
      <c r="I93" s="11" t="n">
        <f aca="false">IF(COUNT(E93,F93)=2,F93-E93,"")</f>
        <v>0.0899999999999999</v>
      </c>
      <c r="J93" s="11" t="n">
        <f aca="false">IF(COUNT(E93,H93)=2,H93-E93,"")</f>
        <v>1.75</v>
      </c>
      <c r="K93" s="11" t="str">
        <f aca="false">IF(COUNT(F93,G93)=2,F93-G93,"")</f>
        <v/>
      </c>
      <c r="L93" s="12" t="n">
        <v>8</v>
      </c>
      <c r="M93" s="12" t="n">
        <v>9</v>
      </c>
      <c r="N93" s="12" t="n">
        <v>8</v>
      </c>
      <c r="O93" s="12" t="n">
        <v>2</v>
      </c>
      <c r="P93" s="12" t="n">
        <v>8</v>
      </c>
      <c r="Q93" s="12" t="n">
        <v>8</v>
      </c>
      <c r="R93" s="12" t="n">
        <v>9</v>
      </c>
      <c r="S93" s="12" t="n">
        <v>5</v>
      </c>
      <c r="T93" s="12" t="n">
        <v>8</v>
      </c>
      <c r="U93" s="12" t="n">
        <v>7</v>
      </c>
      <c r="V93" s="12" t="n">
        <v>9</v>
      </c>
      <c r="W93" s="12" t="n">
        <v>6</v>
      </c>
      <c r="X93" s="12" t="n">
        <v>7</v>
      </c>
      <c r="Y93" s="12" t="n">
        <v>9</v>
      </c>
      <c r="Z93" s="9" t="s">
        <v>46</v>
      </c>
      <c r="AA93" s="9" t="s">
        <v>59</v>
      </c>
      <c r="AB93" s="12" t="n">
        <v>7</v>
      </c>
      <c r="AC93" s="12" t="n">
        <v>8</v>
      </c>
      <c r="AD93" s="12" t="n">
        <v>6</v>
      </c>
      <c r="AE93" s="12" t="n">
        <v>7</v>
      </c>
      <c r="AF93" s="12" t="n">
        <v>7</v>
      </c>
      <c r="AG93" s="12" t="n">
        <v>8</v>
      </c>
      <c r="AH93" s="11" t="n">
        <f aca="false">IF(COUNT(L93,P93)=2,P93-L93,"")</f>
        <v>0</v>
      </c>
      <c r="AI93" s="11" t="n">
        <f aca="false">IF(COUNT(M93,Q93)=2,Q93-M93,"")</f>
        <v>-1</v>
      </c>
      <c r="AJ93" s="11" t="n">
        <f aca="false">IF(COUNT(N93,R93)=2,R93-N93,"")</f>
        <v>1</v>
      </c>
      <c r="AK93" s="11" t="n">
        <f aca="false">IF(COUNT(O93,S93)=2,S93-O93,"")</f>
        <v>3</v>
      </c>
      <c r="AL93" s="11" t="n">
        <f aca="false">IF(COUNT(AB93,AC93)=2,AC93-AB93,"")</f>
        <v>1</v>
      </c>
      <c r="AM93" s="11" t="n">
        <f aca="false">IF(COUNT(AD93,AE93)=2,AE93-AD93,"")</f>
        <v>1</v>
      </c>
      <c r="AN93" s="11" t="n">
        <f aca="false">IF(COUNT(F93,H93)=2,H93-F93,"")</f>
        <v>1.66</v>
      </c>
      <c r="AO93" s="8" t="n">
        <f aca="false">IF(COUNT(E93,F93)=2,(F93-E93)/E93,"")</f>
        <v>0.00429184549356223</v>
      </c>
      <c r="AP93" s="8" t="n">
        <f aca="false">IF(COUNT(E93,H93)=2,(H93-E93)/E93,"")</f>
        <v>0.0834525512637101</v>
      </c>
      <c r="AQ93" s="8" t="str">
        <f aca="false">IF(COUNT(E93,G93)=2,(G93-E93)/E93,"")</f>
        <v/>
      </c>
    </row>
    <row r="94" customFormat="false" ht="15" hidden="false" customHeight="true" outlineLevel="0" collapsed="false">
      <c r="A94" s="9" t="s">
        <v>52</v>
      </c>
      <c r="B94" s="9" t="n">
        <v>178</v>
      </c>
      <c r="C94" s="9" t="s">
        <v>44</v>
      </c>
      <c r="D94" s="9" t="s">
        <v>55</v>
      </c>
      <c r="E94" s="10" t="n">
        <v>17.12</v>
      </c>
      <c r="F94" s="10" t="n">
        <v>18.12</v>
      </c>
      <c r="G94" s="9"/>
      <c r="H94" s="10" t="n">
        <v>20.72</v>
      </c>
      <c r="I94" s="11" t="n">
        <f aca="false">IF(COUNT(E94,F94)=2,F94-E94,"")</f>
        <v>1</v>
      </c>
      <c r="J94" s="11" t="n">
        <f aca="false">IF(COUNT(E94,H94)=2,H94-E94,"")</f>
        <v>3.6</v>
      </c>
      <c r="K94" s="11" t="str">
        <f aca="false">IF(COUNT(F94,G94)=2,F94-G94,"")</f>
        <v/>
      </c>
      <c r="L94" s="12" t="n">
        <v>9</v>
      </c>
      <c r="M94" s="12" t="n">
        <v>9</v>
      </c>
      <c r="N94" s="12" t="n">
        <v>9</v>
      </c>
      <c r="O94" s="12" t="n">
        <v>1</v>
      </c>
      <c r="P94" s="12" t="n">
        <v>9</v>
      </c>
      <c r="Q94" s="12" t="n">
        <v>9</v>
      </c>
      <c r="R94" s="12" t="n">
        <v>9</v>
      </c>
      <c r="S94" s="12" t="n">
        <v>1</v>
      </c>
      <c r="T94" s="12" t="n">
        <v>9</v>
      </c>
      <c r="U94" s="12" t="n">
        <v>9</v>
      </c>
      <c r="V94" s="12" t="n">
        <v>9</v>
      </c>
      <c r="W94" s="12" t="n">
        <v>9</v>
      </c>
      <c r="X94" s="12" t="n">
        <v>8</v>
      </c>
      <c r="Y94" s="12" t="n">
        <v>9</v>
      </c>
      <c r="Z94" s="9" t="s">
        <v>46</v>
      </c>
      <c r="AA94" s="9" t="s">
        <v>59</v>
      </c>
      <c r="AB94" s="12" t="n">
        <v>9</v>
      </c>
      <c r="AC94" s="12" t="n">
        <v>9</v>
      </c>
      <c r="AD94" s="12" t="n">
        <v>9</v>
      </c>
      <c r="AE94" s="12" t="n">
        <v>7</v>
      </c>
      <c r="AF94" s="12" t="n">
        <v>9</v>
      </c>
      <c r="AG94" s="12" t="n">
        <v>7</v>
      </c>
      <c r="AH94" s="11" t="n">
        <f aca="false">IF(COUNT(L94,P94)=2,P94-L94,"")</f>
        <v>0</v>
      </c>
      <c r="AI94" s="11" t="n">
        <f aca="false">IF(COUNT(M94,Q94)=2,Q94-M94,"")</f>
        <v>0</v>
      </c>
      <c r="AJ94" s="11" t="n">
        <f aca="false">IF(COUNT(N94,R94)=2,R94-N94,"")</f>
        <v>0</v>
      </c>
      <c r="AK94" s="11" t="n">
        <f aca="false">IF(COUNT(O94,S94)=2,S94-O94,"")</f>
        <v>0</v>
      </c>
      <c r="AL94" s="11" t="n">
        <f aca="false">IF(COUNT(AB94,AC94)=2,AC94-AB94,"")</f>
        <v>0</v>
      </c>
      <c r="AM94" s="11" t="n">
        <f aca="false">IF(COUNT(AD94,AE94)=2,AE94-AD94,"")</f>
        <v>-2</v>
      </c>
      <c r="AN94" s="11" t="n">
        <f aca="false">IF(COUNT(F94,H94)=2,H94-F94,"")</f>
        <v>2.6</v>
      </c>
      <c r="AO94" s="8" t="n">
        <f aca="false">IF(COUNT(E94,F94)=2,(F94-E94)/E94,"")</f>
        <v>0.058411214953271</v>
      </c>
      <c r="AP94" s="8" t="n">
        <f aca="false">IF(COUNT(E94,H94)=2,(H94-E94)/E94,"")</f>
        <v>0.210280373831776</v>
      </c>
      <c r="AQ94" s="8" t="str">
        <f aca="false">IF(COUNT(E94,G94)=2,(G94-E94)/E94,"")</f>
        <v/>
      </c>
    </row>
    <row r="95" customFormat="false" ht="15" hidden="false" customHeight="true" outlineLevel="0" collapsed="false">
      <c r="A95" s="9" t="s">
        <v>52</v>
      </c>
      <c r="B95" s="9" t="n">
        <v>179</v>
      </c>
      <c r="C95" s="9" t="s">
        <v>48</v>
      </c>
      <c r="D95" s="9" t="s">
        <v>52</v>
      </c>
      <c r="E95" s="10" t="n">
        <v>17.38</v>
      </c>
      <c r="F95" s="10" t="n">
        <v>17.97</v>
      </c>
      <c r="G95" s="9"/>
      <c r="H95" s="10" t="n">
        <v>16.35</v>
      </c>
      <c r="I95" s="11" t="n">
        <f aca="false">IF(COUNT(E95,F95)=2,F95-E95,"")</f>
        <v>0.59</v>
      </c>
      <c r="J95" s="11" t="n">
        <f aca="false">IF(COUNT(E95,H95)=2,H95-E95,"")</f>
        <v>-1.03</v>
      </c>
      <c r="K95" s="11" t="str">
        <f aca="false">IF(COUNT(F95,G95)=2,F95-G95,"")</f>
        <v/>
      </c>
      <c r="L95" s="12" t="n">
        <v>9</v>
      </c>
      <c r="M95" s="12" t="n">
        <v>9</v>
      </c>
      <c r="N95" s="12" t="n">
        <v>9</v>
      </c>
      <c r="O95" s="12" t="n">
        <v>1</v>
      </c>
      <c r="P95" s="12" t="n">
        <v>7</v>
      </c>
      <c r="Q95" s="12" t="n">
        <v>7</v>
      </c>
      <c r="R95" s="12" t="n">
        <v>7</v>
      </c>
      <c r="S95" s="12" t="n">
        <v>2</v>
      </c>
      <c r="T95" s="12" t="n">
        <v>7</v>
      </c>
      <c r="U95" s="12" t="n">
        <v>6</v>
      </c>
      <c r="V95" s="12" t="n">
        <v>6</v>
      </c>
      <c r="W95" s="12" t="n">
        <v>7</v>
      </c>
      <c r="X95" s="12" t="n">
        <v>4</v>
      </c>
      <c r="Y95" s="12" t="n">
        <v>7</v>
      </c>
      <c r="Z95" s="9" t="s">
        <v>46</v>
      </c>
      <c r="AA95" s="9" t="s">
        <v>47</v>
      </c>
      <c r="AB95" s="12" t="n">
        <v>6</v>
      </c>
      <c r="AC95" s="12" t="n">
        <v>6</v>
      </c>
      <c r="AD95" s="12" t="n">
        <v>6</v>
      </c>
      <c r="AE95" s="12" t="n">
        <v>5</v>
      </c>
      <c r="AF95" s="12" t="n">
        <v>9</v>
      </c>
      <c r="AG95" s="12" t="n">
        <v>6</v>
      </c>
      <c r="AH95" s="11" t="n">
        <f aca="false">IF(COUNT(L95,P95)=2,P95-L95,"")</f>
        <v>-2</v>
      </c>
      <c r="AI95" s="11" t="n">
        <f aca="false">IF(COUNT(M95,Q95)=2,Q95-M95,"")</f>
        <v>-2</v>
      </c>
      <c r="AJ95" s="11" t="n">
        <f aca="false">IF(COUNT(N95,R95)=2,R95-N95,"")</f>
        <v>-2</v>
      </c>
      <c r="AK95" s="11" t="n">
        <f aca="false">IF(COUNT(O95,S95)=2,S95-O95,"")</f>
        <v>1</v>
      </c>
      <c r="AL95" s="11" t="n">
        <f aca="false">IF(COUNT(AB95,AC95)=2,AC95-AB95,"")</f>
        <v>0</v>
      </c>
      <c r="AM95" s="11" t="n">
        <f aca="false">IF(COUNT(AD95,AE95)=2,AE95-AD95,"")</f>
        <v>-1</v>
      </c>
      <c r="AN95" s="11" t="n">
        <f aca="false">IF(COUNT(F95,H95)=2,H95-F95,"")</f>
        <v>-1.62</v>
      </c>
      <c r="AO95" s="8" t="n">
        <f aca="false">IF(COUNT(E95,F95)=2,(F95-E95)/E95,"")</f>
        <v>0.0339470655926352</v>
      </c>
      <c r="AP95" s="8" t="n">
        <f aca="false">IF(COUNT(E95,H95)=2,(H95-E95)/E95,"")</f>
        <v>-0.0592635212888376</v>
      </c>
      <c r="AQ95" s="8" t="str">
        <f aca="false">IF(COUNT(E95,G95)=2,(G95-E95)/E95,"")</f>
        <v/>
      </c>
    </row>
    <row r="96" customFormat="false" ht="15" hidden="false" customHeight="true" outlineLevel="0" collapsed="false">
      <c r="A96" s="9" t="s">
        <v>52</v>
      </c>
      <c r="B96" s="9" t="n">
        <v>180</v>
      </c>
      <c r="C96" s="9" t="s">
        <v>48</v>
      </c>
      <c r="D96" s="9" t="s">
        <v>60</v>
      </c>
      <c r="E96" s="10" t="n">
        <v>14.34</v>
      </c>
      <c r="F96" s="10" t="n">
        <v>16.15</v>
      </c>
      <c r="G96" s="9"/>
      <c r="H96" s="10" t="n">
        <v>18.69</v>
      </c>
      <c r="I96" s="11" t="n">
        <f aca="false">IF(COUNT(E96,F96)=2,F96-E96,"")</f>
        <v>1.81</v>
      </c>
      <c r="J96" s="11" t="n">
        <f aca="false">IF(COUNT(E96,H96)=2,H96-E96,"")</f>
        <v>4.35</v>
      </c>
      <c r="K96" s="11" t="str">
        <f aca="false">IF(COUNT(F96,G96)=2,F96-G96,"")</f>
        <v/>
      </c>
      <c r="L96" s="12" t="n">
        <v>9</v>
      </c>
      <c r="M96" s="12" t="n">
        <v>9</v>
      </c>
      <c r="N96" s="12" t="n">
        <v>9</v>
      </c>
      <c r="O96" s="12" t="n">
        <v>1</v>
      </c>
      <c r="P96" s="12" t="n">
        <v>6</v>
      </c>
      <c r="Q96" s="12" t="n">
        <v>7</v>
      </c>
      <c r="R96" s="12" t="n">
        <v>5</v>
      </c>
      <c r="S96" s="12" t="n">
        <v>4</v>
      </c>
      <c r="T96" s="12" t="n">
        <v>7</v>
      </c>
      <c r="U96" s="12" t="n">
        <v>6</v>
      </c>
      <c r="V96" s="12" t="n">
        <v>8</v>
      </c>
      <c r="W96" s="12" t="n">
        <v>7</v>
      </c>
      <c r="X96" s="12" t="n">
        <v>2</v>
      </c>
      <c r="Y96" s="12" t="n">
        <v>8</v>
      </c>
      <c r="Z96" s="9" t="s">
        <v>46</v>
      </c>
      <c r="AA96" s="9" t="s">
        <v>56</v>
      </c>
      <c r="AB96" s="12" t="n">
        <v>7</v>
      </c>
      <c r="AC96" s="12" t="n">
        <v>6</v>
      </c>
      <c r="AD96" s="12" t="n">
        <v>6</v>
      </c>
      <c r="AE96" s="12" t="n">
        <v>6</v>
      </c>
      <c r="AF96" s="12" t="n">
        <v>8</v>
      </c>
      <c r="AG96" s="12" t="n">
        <v>2</v>
      </c>
      <c r="AH96" s="11" t="n">
        <f aca="false">IF(COUNT(L96,P96)=2,P96-L96,"")</f>
        <v>-3</v>
      </c>
      <c r="AI96" s="11" t="n">
        <f aca="false">IF(COUNT(M96,Q96)=2,Q96-M96,"")</f>
        <v>-2</v>
      </c>
      <c r="AJ96" s="11" t="n">
        <f aca="false">IF(COUNT(N96,R96)=2,R96-N96,"")</f>
        <v>-4</v>
      </c>
      <c r="AK96" s="11" t="n">
        <f aca="false">IF(COUNT(O96,S96)=2,S96-O96,"")</f>
        <v>3</v>
      </c>
      <c r="AL96" s="11" t="n">
        <f aca="false">IF(COUNT(AB96,AC96)=2,AC96-AB96,"")</f>
        <v>-1</v>
      </c>
      <c r="AM96" s="11" t="n">
        <f aca="false">IF(COUNT(AD96,AE96)=2,AE96-AD96,"")</f>
        <v>0</v>
      </c>
      <c r="AN96" s="11" t="n">
        <f aca="false">IF(COUNT(F96,H96)=2,H96-F96,"")</f>
        <v>2.54</v>
      </c>
      <c r="AO96" s="8" t="n">
        <f aca="false">IF(COUNT(E96,F96)=2,(F96-E96)/E96,"")</f>
        <v>0.126220362622036</v>
      </c>
      <c r="AP96" s="8" t="n">
        <f aca="false">IF(COUNT(E96,H96)=2,(H96-E96)/E96,"")</f>
        <v>0.303347280334728</v>
      </c>
      <c r="AQ96" s="8" t="str">
        <f aca="false">IF(COUNT(E96,G96)=2,(G96-E96)/E96,"")</f>
        <v/>
      </c>
    </row>
    <row r="97" customFormat="false" ht="15" hidden="false" customHeight="true" outlineLevel="0" collapsed="false">
      <c r="A97" s="9" t="s">
        <v>52</v>
      </c>
      <c r="B97" s="9" t="n">
        <v>181</v>
      </c>
      <c r="C97" s="9" t="s">
        <v>44</v>
      </c>
      <c r="D97" s="9" t="s">
        <v>57</v>
      </c>
      <c r="E97" s="10" t="n">
        <v>16.81</v>
      </c>
      <c r="F97" s="10" t="n">
        <v>18.31</v>
      </c>
      <c r="G97" s="9"/>
      <c r="H97" s="10" t="n">
        <v>17.22</v>
      </c>
      <c r="I97" s="11" t="n">
        <f aca="false">IF(COUNT(E97,F97)=2,F97-E97,"")</f>
        <v>1.5</v>
      </c>
      <c r="J97" s="11" t="n">
        <f aca="false">IF(COUNT(E97,H97)=2,H97-E97,"")</f>
        <v>0.41</v>
      </c>
      <c r="K97" s="11" t="str">
        <f aca="false">IF(COUNT(F97,G97)=2,F97-G97,"")</f>
        <v/>
      </c>
      <c r="L97" s="12" t="n">
        <v>9</v>
      </c>
      <c r="M97" s="12" t="n">
        <v>9</v>
      </c>
      <c r="N97" s="12" t="n">
        <v>9</v>
      </c>
      <c r="O97" s="12" t="n">
        <v>1</v>
      </c>
      <c r="P97" s="12" t="n">
        <v>8</v>
      </c>
      <c r="Q97" s="12" t="n">
        <v>8</v>
      </c>
      <c r="R97" s="12" t="n">
        <v>9</v>
      </c>
      <c r="S97" s="12" t="n">
        <v>1</v>
      </c>
      <c r="T97" s="12" t="n">
        <v>8</v>
      </c>
      <c r="U97" s="12" t="n">
        <v>8</v>
      </c>
      <c r="V97" s="12" t="n">
        <v>9</v>
      </c>
      <c r="W97" s="12" t="n">
        <v>8</v>
      </c>
      <c r="X97" s="12" t="n">
        <v>2</v>
      </c>
      <c r="Y97" s="12" t="n">
        <v>7</v>
      </c>
      <c r="Z97" s="9" t="s">
        <v>46</v>
      </c>
      <c r="AA97" s="9" t="s">
        <v>59</v>
      </c>
      <c r="AB97" s="12" t="n">
        <v>8</v>
      </c>
      <c r="AC97" s="12" t="n">
        <v>7</v>
      </c>
      <c r="AD97" s="12" t="n">
        <v>8</v>
      </c>
      <c r="AE97" s="12" t="n">
        <v>7</v>
      </c>
      <c r="AF97" s="12" t="n">
        <v>9</v>
      </c>
      <c r="AG97" s="12" t="n">
        <v>4</v>
      </c>
      <c r="AH97" s="11" t="n">
        <f aca="false">IF(COUNT(L97,P97)=2,P97-L97,"")</f>
        <v>-1</v>
      </c>
      <c r="AI97" s="11" t="n">
        <f aca="false">IF(COUNT(M97,Q97)=2,Q97-M97,"")</f>
        <v>-1</v>
      </c>
      <c r="AJ97" s="11" t="n">
        <f aca="false">IF(COUNT(N97,R97)=2,R97-N97,"")</f>
        <v>0</v>
      </c>
      <c r="AK97" s="11" t="n">
        <f aca="false">IF(COUNT(O97,S97)=2,S97-O97,"")</f>
        <v>0</v>
      </c>
      <c r="AL97" s="11" t="n">
        <f aca="false">IF(COUNT(AB97,AC97)=2,AC97-AB97,"")</f>
        <v>-1</v>
      </c>
      <c r="AM97" s="11" t="n">
        <f aca="false">IF(COUNT(AD97,AE97)=2,AE97-AD97,"")</f>
        <v>-1</v>
      </c>
      <c r="AN97" s="11" t="n">
        <f aca="false">IF(COUNT(F97,H97)=2,H97-F97,"")</f>
        <v>-1.09</v>
      </c>
      <c r="AO97" s="8" t="n">
        <f aca="false">IF(COUNT(E97,F97)=2,(F97-E97)/E97,"")</f>
        <v>0.0892325996430696</v>
      </c>
      <c r="AP97" s="8" t="n">
        <f aca="false">IF(COUNT(E97,H97)=2,(H97-E97)/E97,"")</f>
        <v>0.024390243902439</v>
      </c>
      <c r="AQ97" s="8" t="str">
        <f aca="false">IF(COUNT(E97,G97)=2,(G97-E97)/E97,"")</f>
        <v/>
      </c>
    </row>
    <row r="98" customFormat="false" ht="15" hidden="false" customHeight="true" outlineLevel="0" collapsed="false">
      <c r="A98" s="9" t="s">
        <v>52</v>
      </c>
      <c r="B98" s="9" t="n">
        <v>182</v>
      </c>
      <c r="C98" s="9" t="s">
        <v>44</v>
      </c>
      <c r="D98" s="9" t="s">
        <v>55</v>
      </c>
      <c r="E98" s="10" t="n">
        <v>15.93</v>
      </c>
      <c r="F98" s="9"/>
      <c r="G98" s="9"/>
      <c r="H98" s="10" t="n">
        <v>14.87</v>
      </c>
      <c r="I98" s="11" t="str">
        <f aca="false">IF(COUNT(E98,F98)=2,F98-E98,"")</f>
        <v/>
      </c>
      <c r="J98" s="11" t="n">
        <f aca="false">IF(COUNT(E98,H98)=2,H98-E98,"")</f>
        <v>-1.06</v>
      </c>
      <c r="K98" s="11" t="str">
        <f aca="false">IF(COUNT(F98,G98)=2,F98-G98,"")</f>
        <v/>
      </c>
      <c r="L98" s="12" t="n">
        <v>9</v>
      </c>
      <c r="M98" s="12" t="n">
        <v>9</v>
      </c>
      <c r="N98" s="12" t="n">
        <v>9</v>
      </c>
      <c r="O98" s="12" t="n">
        <v>1</v>
      </c>
      <c r="P98" s="12" t="n">
        <v>1</v>
      </c>
      <c r="Q98" s="12" t="n">
        <v>1</v>
      </c>
      <c r="R98" s="12" t="n">
        <v>1</v>
      </c>
      <c r="S98" s="12" t="n">
        <v>1</v>
      </c>
      <c r="T98" s="12" t="n">
        <v>1</v>
      </c>
      <c r="U98" s="12" t="n">
        <v>9</v>
      </c>
      <c r="V98" s="12" t="n">
        <v>9</v>
      </c>
      <c r="W98" s="12" t="n">
        <v>9</v>
      </c>
      <c r="X98" s="12" t="n">
        <v>4</v>
      </c>
      <c r="Y98" s="12" t="n">
        <v>7</v>
      </c>
      <c r="Z98" s="9" t="s">
        <v>54</v>
      </c>
      <c r="AA98" s="9" t="s">
        <v>47</v>
      </c>
      <c r="AB98" s="12" t="n">
        <v>1</v>
      </c>
      <c r="AC98" s="12" t="n">
        <v>1</v>
      </c>
      <c r="AD98" s="12" t="n">
        <v>1</v>
      </c>
      <c r="AE98" s="12" t="n">
        <v>1</v>
      </c>
      <c r="AF98" s="12" t="n">
        <v>1</v>
      </c>
      <c r="AG98" s="12" t="n">
        <v>1</v>
      </c>
      <c r="AH98" s="11" t="n">
        <f aca="false">IF(COUNT(L98,P98)=2,P98-L98,"")</f>
        <v>-8</v>
      </c>
      <c r="AI98" s="11" t="n">
        <f aca="false">IF(COUNT(M98,Q98)=2,Q98-M98,"")</f>
        <v>-8</v>
      </c>
      <c r="AJ98" s="11" t="n">
        <f aca="false">IF(COUNT(N98,R98)=2,R98-N98,"")</f>
        <v>-8</v>
      </c>
      <c r="AK98" s="11" t="n">
        <f aca="false">IF(COUNT(O98,S98)=2,S98-O98,"")</f>
        <v>0</v>
      </c>
      <c r="AL98" s="11" t="n">
        <f aca="false">IF(COUNT(AB98,AC98)=2,AC98-AB98,"")</f>
        <v>0</v>
      </c>
      <c r="AM98" s="11" t="n">
        <f aca="false">IF(COUNT(AD98,AE98)=2,AE98-AD98,"")</f>
        <v>0</v>
      </c>
      <c r="AN98" s="11" t="str">
        <f aca="false">IF(COUNT(F98,H98)=2,H98-F98,"")</f>
        <v/>
      </c>
      <c r="AO98" s="8" t="str">
        <f aca="false">IF(COUNT(E98,F98)=2,(F98-E98)/E98,"")</f>
        <v/>
      </c>
      <c r="AP98" s="8" t="n">
        <f aca="false">IF(COUNT(E98,H98)=2,(H98-E98)/E98,"")</f>
        <v>-0.066541117388575</v>
      </c>
      <c r="AQ98" s="8" t="str">
        <f aca="false">IF(COUNT(E98,G98)=2,(G98-E98)/E98,"")</f>
        <v/>
      </c>
    </row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13" t="s">
        <v>61</v>
      </c>
      <c r="C1" s="13"/>
      <c r="D1" s="13"/>
      <c r="E1" s="13"/>
    </row>
    <row r="2" customFormat="false" ht="32.25" hidden="false" customHeight="true" outlineLevel="0" collapsed="false">
      <c r="B2" s="14" t="s">
        <v>62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15" t="s">
        <v>63</v>
      </c>
      <c r="C4" s="15"/>
      <c r="D4" s="15"/>
      <c r="E4" s="15"/>
    </row>
    <row r="5" customFormat="false" ht="23.25" hidden="false" customHeight="true" outlineLevel="0" collapsed="false">
      <c r="B5" s="16" t="s">
        <v>64</v>
      </c>
      <c r="C5" s="16" t="s">
        <v>65</v>
      </c>
      <c r="D5" s="16" t="s">
        <v>66</v>
      </c>
      <c r="E5" s="16" t="s">
        <v>67</v>
      </c>
      <c r="F5" s="16" t="s">
        <v>68</v>
      </c>
    </row>
    <row r="6" customFormat="false" ht="15" hidden="false" customHeight="true" outlineLevel="0" collapsed="false">
      <c r="B6" s="17" t="s">
        <v>69</v>
      </c>
      <c r="C6" s="18" t="n">
        <f aca="false">AVERAGE('טבלת אב'!E2:E98)</f>
        <v>15.4917525773196</v>
      </c>
      <c r="D6" s="18" t="n">
        <f aca="false">AVERAGE('טבלת אב'!F2:F98)</f>
        <v>17.2341489361702</v>
      </c>
      <c r="E6" s="18" t="n">
        <f aca="false">AVERAGE('טבלת אב'!H2:H98)</f>
        <v>17.3168421052632</v>
      </c>
      <c r="F6" s="18" t="n">
        <f aca="false">AVERAGE('טבלת אב'!G2:G98)</f>
        <v>16.2789473684211</v>
      </c>
    </row>
    <row r="7" customFormat="false" ht="15" hidden="false" customHeight="true" outlineLevel="0" collapsed="false">
      <c r="B7" s="17" t="s">
        <v>70</v>
      </c>
      <c r="C7" s="18" t="n">
        <f aca="false">MEDIAN('טבלת אב'!E2:E98)</f>
        <v>15.31</v>
      </c>
      <c r="D7" s="18" t="n">
        <f aca="false">MEDIAN('טבלת אב'!F2:F98)</f>
        <v>17</v>
      </c>
      <c r="E7" s="18" t="n">
        <f aca="false">MEDIAN('טבלת אב'!H2:H98)</f>
        <v>17.16</v>
      </c>
      <c r="F7" s="18" t="n">
        <f aca="false">MEDIAN('טבלת אב'!G2:G98)</f>
        <v>16.25</v>
      </c>
    </row>
    <row r="8" customFormat="false" ht="15" hidden="false" customHeight="true" outlineLevel="0" collapsed="false">
      <c r="B8" s="17" t="s">
        <v>71</v>
      </c>
      <c r="C8" s="18" t="n">
        <f aca="false">STDEV('טבלת אב'!E2:E98)</f>
        <v>2.22841358477528</v>
      </c>
      <c r="D8" s="18" t="n">
        <f aca="false">STDEV('טבלת אב'!F2:F98)</f>
        <v>2.91046440131862</v>
      </c>
      <c r="E8" s="18" t="n">
        <f aca="false">STDEV('טבלת אב'!H2:H98)</f>
        <v>2.78153972254041</v>
      </c>
      <c r="F8" s="18" t="n">
        <f aca="false">STDEV('טבלת אב'!G2:G98)</f>
        <v>2.17367812892966</v>
      </c>
    </row>
    <row r="9" customFormat="false" ht="15" hidden="false" customHeight="true" outlineLevel="0" collapsed="false">
      <c r="B9" s="17" t="s">
        <v>72</v>
      </c>
      <c r="C9" s="18" t="n">
        <f aca="false">MIN('טבלת אב'!E2:E98)</f>
        <v>11.19</v>
      </c>
      <c r="D9" s="18" t="n">
        <f aca="false">MIN('טבלת אב'!F2:F98)</f>
        <v>12.97</v>
      </c>
      <c r="E9" s="18" t="n">
        <f aca="false">MIN('טבלת אב'!H2:H98)</f>
        <v>12.28</v>
      </c>
      <c r="F9" s="18" t="n">
        <f aca="false">MIN('טבלת אב'!G2:G98)</f>
        <v>12.16</v>
      </c>
    </row>
    <row r="10" customFormat="false" ht="15" hidden="false" customHeight="true" outlineLevel="0" collapsed="false">
      <c r="B10" s="17" t="s">
        <v>73</v>
      </c>
      <c r="C10" s="18" t="n">
        <f aca="false">MAX('טבלת אב'!E2:E98)</f>
        <v>22.16</v>
      </c>
      <c r="D10" s="18" t="n">
        <f aca="false">MAX('טבלת אב'!F2:F98)</f>
        <v>29.47</v>
      </c>
      <c r="E10" s="18" t="n">
        <f aca="false">MAX('טבלת אב'!H2:H98)</f>
        <v>26.68</v>
      </c>
      <c r="F10" s="18" t="n">
        <f aca="false">MAX('טבלת אב'!G2:G98)</f>
        <v>20.94</v>
      </c>
    </row>
    <row r="11" customFormat="false" ht="15" hidden="false" customHeight="true" outlineLevel="0" collapsed="false">
      <c r="B11" s="17" t="s">
        <v>74</v>
      </c>
      <c r="C11" s="19" t="n">
        <f aca="false">COUNT('טבלת אב'!E2:E98)</f>
        <v>97</v>
      </c>
      <c r="D11" s="19" t="n">
        <f aca="false">COUNT('טבלת אב'!F2:F98)</f>
        <v>94</v>
      </c>
      <c r="E11" s="19" t="n">
        <f aca="false">COUNT('טבלת אב'!H2:H98)</f>
        <v>76</v>
      </c>
      <c r="F11" s="19" t="n">
        <f aca="false">COUNT('טבלת אב'!G2:G98)</f>
        <v>19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20" t="s">
        <v>75</v>
      </c>
      <c r="C13" s="20"/>
      <c r="D13" s="20"/>
      <c r="E13" s="20"/>
    </row>
    <row r="14" customFormat="false" ht="15" hidden="false" customHeight="true" outlineLevel="0" collapsed="false">
      <c r="B14" s="21" t="s">
        <v>76</v>
      </c>
      <c r="C14" s="22" t="n">
        <f aca="false">AVERAGE('טבלת אב'!I2:I98)</f>
        <v>1.77425531914894</v>
      </c>
    </row>
    <row r="15" customFormat="false" ht="15" hidden="false" customHeight="true" outlineLevel="0" collapsed="false">
      <c r="B15" s="21" t="s">
        <v>77</v>
      </c>
      <c r="C15" s="23" t="n">
        <f aca="false">COUNTIF('טבלת אב'!I2:I98,"&gt;0")/COUNT('טבלת אב'!I2:I98)</f>
        <v>0.787234042553192</v>
      </c>
    </row>
    <row r="16" customFormat="false" ht="15" hidden="false" customHeight="true" outlineLevel="0" collapsed="false">
      <c r="B16" s="21" t="s">
        <v>78</v>
      </c>
      <c r="C16" s="24" t="n">
        <f aca="false">AVERAGE('טבלת אב'!I2:I98)/(STDEV('טבלת אב'!I2:I98)/SQRT(COUNT('טבלת אב'!I2:I98)))</f>
        <v>7.75498443067048</v>
      </c>
    </row>
    <row r="17" customFormat="false" ht="15" hidden="false" customHeight="true" outlineLevel="0" collapsed="false">
      <c r="B17" s="21" t="s">
        <v>79</v>
      </c>
      <c r="C17" s="25" t="n">
        <f aca="false">TDIST(MAX(ABS(C16),0.000000001),COUNT('טבלת אב'!I2:I98)-1,2)</f>
        <v>1.09786698853168E-011</v>
      </c>
    </row>
    <row r="18" customFormat="false" ht="15" hidden="false" customHeight="true" outlineLevel="0" collapsed="false">
      <c r="B18" s="21" t="s">
        <v>80</v>
      </c>
      <c r="C18" s="26" t="n">
        <f aca="false">COUNT('טבלת אב'!I2:I98)</f>
        <v>94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20" t="s">
        <v>81</v>
      </c>
      <c r="C20" s="20"/>
      <c r="D20" s="20"/>
      <c r="E20" s="20"/>
    </row>
    <row r="21" customFormat="false" ht="15" hidden="false" customHeight="true" outlineLevel="0" collapsed="false">
      <c r="B21" s="21" t="s">
        <v>76</v>
      </c>
      <c r="C21" s="22" t="n">
        <f aca="false">AVERAGE('טבלת אב'!J2:J98)</f>
        <v>1.78210526315789</v>
      </c>
    </row>
    <row r="22" customFormat="false" ht="15" hidden="false" customHeight="true" outlineLevel="0" collapsed="false">
      <c r="B22" s="21" t="s">
        <v>77</v>
      </c>
      <c r="C22" s="23" t="n">
        <f aca="false">COUNTIF('טבלת אב'!J2:J98,"&gt;0")/COUNT('טבלת אב'!J2:J98)</f>
        <v>0.881578947368421</v>
      </c>
    </row>
    <row r="23" customFormat="false" ht="15" hidden="false" customHeight="true" outlineLevel="0" collapsed="false">
      <c r="B23" s="21" t="s">
        <v>78</v>
      </c>
      <c r="C23" s="24" t="n">
        <f aca="false">AVERAGE('טבלת אב'!J2:J98)/(STDEV('טבלת אב'!J2:J98)/SQRT(COUNT('טבלת אב'!J2:J98)))</f>
        <v>8.51412920691167</v>
      </c>
    </row>
    <row r="24" customFormat="false" ht="15" hidden="false" customHeight="true" outlineLevel="0" collapsed="false">
      <c r="B24" s="21" t="s">
        <v>79</v>
      </c>
      <c r="C24" s="25" t="n">
        <f aca="false">TDIST(MAX(ABS(C23),0.000000001),COUNT('טבלת אב'!J2:J98)-1,2)</f>
        <v>1.25228783936267E-012</v>
      </c>
    </row>
    <row r="25" customFormat="false" ht="15" hidden="false" customHeight="true" outlineLevel="0" collapsed="false">
      <c r="B25" s="21" t="s">
        <v>80</v>
      </c>
      <c r="C25" s="26" t="n">
        <f aca="false">COUNT('טבלת אב'!J2:J98)</f>
        <v>76</v>
      </c>
    </row>
    <row r="26" customFormat="false" ht="15.75" hidden="false" customHeight="true" outlineLevel="0" collapsed="false"/>
    <row r="27" customFormat="false" ht="15" hidden="false" customHeight="true" outlineLevel="0" collapsed="false">
      <c r="B27" s="20" t="s">
        <v>82</v>
      </c>
      <c r="C27" s="20"/>
      <c r="D27" s="20"/>
      <c r="E27" s="20"/>
    </row>
    <row r="28" customFormat="false" ht="15" hidden="false" customHeight="true" outlineLevel="0" collapsed="false">
      <c r="B28" s="21" t="s">
        <v>76</v>
      </c>
      <c r="C28" s="22" t="n">
        <f aca="false">AVERAGE('טבלת אב'!AN2:AN98)</f>
        <v>0.171232876712329</v>
      </c>
    </row>
    <row r="29" customFormat="false" ht="15" hidden="false" customHeight="true" outlineLevel="0" collapsed="false">
      <c r="B29" s="21" t="s">
        <v>83</v>
      </c>
      <c r="C29" s="23" t="n">
        <f aca="false">COUNTIF('טבלת אב'!AN2:AN98,"&gt;0")/COUNT('טבלת אב'!AN2:AN98)</f>
        <v>0.589041095890411</v>
      </c>
    </row>
    <row r="30" customFormat="false" ht="15" hidden="false" customHeight="true" outlineLevel="0" collapsed="false">
      <c r="B30" s="21" t="s">
        <v>78</v>
      </c>
      <c r="C30" s="24" t="n">
        <f aca="false">AVERAGE('טבלת אב'!AN2:AN98)/(STDEV('טבלת אב'!AN2:AN98)/SQRT(COUNT('טבלת אב'!AN2:AN98)))</f>
        <v>0.582216809963594</v>
      </c>
    </row>
    <row r="31" customFormat="false" ht="15" hidden="false" customHeight="true" outlineLevel="0" collapsed="false">
      <c r="B31" s="21" t="s">
        <v>79</v>
      </c>
      <c r="C31" s="25" t="n">
        <f aca="false">TDIST(MAX(ABS(C30),0.000000001),COUNT('טבלת אב'!AN2:AN98)-1,2)</f>
        <v>0.56223941569931</v>
      </c>
    </row>
    <row r="32" customFormat="false" ht="15" hidden="false" customHeight="true" outlineLevel="0" collapsed="false">
      <c r="B32" s="21" t="s">
        <v>80</v>
      </c>
      <c r="C32" s="26" t="n">
        <f aca="false">COUNT('טבלת אב'!AN2:AN98)</f>
        <v>73</v>
      </c>
    </row>
    <row r="33" customFormat="false" ht="15.75" hidden="false" customHeight="true" outlineLevel="0" collapsed="false"/>
    <row r="34" customFormat="false" ht="15" hidden="false" customHeight="true" outlineLevel="0" collapsed="false">
      <c r="B34" s="27" t="s">
        <v>84</v>
      </c>
      <c r="C34" s="27"/>
      <c r="D34" s="27"/>
      <c r="E34" s="27"/>
    </row>
    <row r="35" customFormat="false" ht="15" hidden="false" customHeight="true" outlineLevel="0" collapsed="false">
      <c r="B35" s="21" t="s">
        <v>76</v>
      </c>
      <c r="C35" s="22" t="n">
        <f aca="false">AVERAGE('טבלת אב'!K2:K98)</f>
        <v>0.841578947368421</v>
      </c>
    </row>
    <row r="36" customFormat="false" ht="15" hidden="false" customHeight="true" outlineLevel="0" collapsed="false">
      <c r="B36" s="21" t="s">
        <v>85</v>
      </c>
      <c r="C36" s="23" t="n">
        <f aca="false">COUNTIF('טבלת אב'!K2:K98,"&gt;0")/COUNT('טבלת אב'!K2:K98)</f>
        <v>0.68421052631579</v>
      </c>
    </row>
    <row r="37" customFormat="false" ht="15" hidden="false" customHeight="true" outlineLevel="0" collapsed="false">
      <c r="B37" s="21" t="s">
        <v>78</v>
      </c>
      <c r="C37" s="24" t="n">
        <f aca="false">AVERAGE('טבלת אב'!K2:K98)/(STDEV('טבלת אב'!K2:K98)/SQRT(COUNT('טבלת אב'!K2:K98)))</f>
        <v>2.85148323620591</v>
      </c>
    </row>
    <row r="38" customFormat="false" ht="15" hidden="false" customHeight="true" outlineLevel="0" collapsed="false">
      <c r="B38" s="21" t="s">
        <v>79</v>
      </c>
      <c r="C38" s="25" t="n">
        <f aca="false">TDIST(MAX(ABS(C37),0.000000001),COUNT('טבלת אב'!K2:K98)-1,2)</f>
        <v>0.0105978685996742</v>
      </c>
    </row>
    <row r="39" customFormat="false" ht="15" hidden="false" customHeight="true" outlineLevel="0" collapsed="false">
      <c r="B39" s="21" t="s">
        <v>80</v>
      </c>
      <c r="C39" s="26" t="n">
        <f aca="false">COUNT('טבלת אב'!K2:K98)</f>
        <v>19</v>
      </c>
    </row>
    <row r="40" customFormat="false" ht="15.75" hidden="false" customHeight="true" outlineLevel="0" collapsed="false"/>
    <row r="41" customFormat="false" ht="15" hidden="false" customHeight="true" outlineLevel="0" collapsed="false">
      <c r="B41" s="15" t="s">
        <v>86</v>
      </c>
      <c r="C41" s="15"/>
      <c r="D41" s="15"/>
      <c r="E41" s="15"/>
    </row>
    <row r="42" customFormat="false" ht="15" hidden="false" customHeight="true" outlineLevel="0" collapsed="false">
      <c r="B42" s="21" t="s">
        <v>87</v>
      </c>
      <c r="C42" s="24" t="n">
        <f aca="false">AVERAGEIF('טבלת אב'!A2:A98,"ABC",'טבלת אב'!E2:E98)</f>
        <v>15.5335064935065</v>
      </c>
    </row>
    <row r="43" customFormat="false" ht="15" hidden="false" customHeight="true" outlineLevel="0" collapsed="false">
      <c r="B43" s="21" t="s">
        <v>88</v>
      </c>
      <c r="C43" s="24" t="n">
        <f aca="false">AVERAGEIF('טבלת אב'!A2:A98,"ABB",'טבלת אב'!E2:E98)</f>
        <v>15.331</v>
      </c>
    </row>
    <row r="44" customFormat="false" ht="15" hidden="false" customHeight="true" outlineLevel="0" collapsed="false">
      <c r="B44" s="21" t="s">
        <v>89</v>
      </c>
      <c r="C44" s="24" t="n">
        <f aca="false">AVERAGEIF('טבלת אב'!A2:A98,"ABC",'טבלת אב'!F2:F98)</f>
        <v>17.1435135135135</v>
      </c>
    </row>
    <row r="45" customFormat="false" ht="15" hidden="false" customHeight="true" outlineLevel="0" collapsed="false">
      <c r="B45" s="21" t="s">
        <v>90</v>
      </c>
      <c r="C45" s="24" t="n">
        <f aca="false">AVERAGEIF('טבלת אב'!A2:A98,"ABB",'טבלת אב'!F2:F98)</f>
        <v>17.5695</v>
      </c>
    </row>
    <row r="46" customFormat="false" ht="15" hidden="false" customHeight="true" outlineLevel="0" collapsed="false">
      <c r="B46" s="21" t="s">
        <v>91</v>
      </c>
      <c r="C46" s="22" t="n">
        <f aca="false">AVERAGEIF('טבלת אב'!C2:C98,"גבר",'טבלת אב'!I2:I98)</f>
        <v>1.87473684210526</v>
      </c>
    </row>
    <row r="47" customFormat="false" ht="15" hidden="false" customHeight="true" outlineLevel="0" collapsed="false">
      <c r="B47" s="21" t="s">
        <v>92</v>
      </c>
      <c r="C47" s="22" t="n">
        <f aca="false">AVERAGEIF('טבלת אב'!C2:C98,"אישה",'טבלת אב'!I2:I98)</f>
        <v>1.57555555555556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E1"/>
    <mergeCell ref="B2:E2"/>
    <mergeCell ref="B4:E4"/>
    <mergeCell ref="B13:E13"/>
    <mergeCell ref="B20:E20"/>
    <mergeCell ref="B27:E27"/>
    <mergeCell ref="B34:E34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3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13" t="s">
        <v>93</v>
      </c>
      <c r="C1" s="13"/>
      <c r="D1" s="13"/>
      <c r="E1" s="13"/>
    </row>
    <row r="2" customFormat="false" ht="15" hidden="false" customHeight="true" outlineLevel="0" collapsed="false">
      <c r="B2" s="14" t="s">
        <v>94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15" t="s">
        <v>95</v>
      </c>
      <c r="C4" s="15"/>
      <c r="D4" s="15"/>
      <c r="E4" s="15"/>
    </row>
    <row r="5" customFormat="false" ht="15" hidden="false" customHeight="true" outlineLevel="0" collapsed="false">
      <c r="B5" s="16" t="s">
        <v>96</v>
      </c>
      <c r="C5" s="16" t="s">
        <v>97</v>
      </c>
      <c r="D5" s="16" t="s">
        <v>98</v>
      </c>
      <c r="E5" s="16" t="s">
        <v>99</v>
      </c>
    </row>
    <row r="6" customFormat="false" ht="15" hidden="false" customHeight="true" outlineLevel="0" collapsed="false">
      <c r="B6" s="17" t="s">
        <v>100</v>
      </c>
      <c r="C6" s="18" t="n">
        <f aca="false">AVERAGE('טבלת אב'!L2:L98)</f>
        <v>8.48958333333333</v>
      </c>
      <c r="D6" s="18" t="n">
        <f aca="false">AVERAGE('טבלת אב'!P2:P98)</f>
        <v>7.52061855670103</v>
      </c>
      <c r="E6" s="18" t="n">
        <f aca="false">AVERAGE('טבלת אב'!U2:U98)</f>
        <v>7.37333333333333</v>
      </c>
    </row>
    <row r="7" customFormat="false" ht="15" hidden="false" customHeight="true" outlineLevel="0" collapsed="false">
      <c r="B7" s="17" t="s">
        <v>101</v>
      </c>
      <c r="C7" s="18" t="n">
        <f aca="false">AVERAGE('טבלת אב'!M2:M98)</f>
        <v>8.6875</v>
      </c>
      <c r="D7" s="18" t="n">
        <f aca="false">AVERAGE('טבלת אב'!Q2:Q98)</f>
        <v>7.49484536082474</v>
      </c>
      <c r="E7" s="18" t="n">
        <f aca="false">AVERAGE('טבלת אב'!V2:V98)</f>
        <v>7.68</v>
      </c>
    </row>
    <row r="8" customFormat="false" ht="15" hidden="false" customHeight="true" outlineLevel="0" collapsed="false">
      <c r="B8" s="17" t="s">
        <v>102</v>
      </c>
      <c r="C8" s="18" t="n">
        <f aca="false">AVERAGE('טבלת אב'!N2:N98)</f>
        <v>8.51041666666667</v>
      </c>
      <c r="D8" s="18" t="n">
        <f aca="false">AVERAGE('טבלת אב'!R2:R98)</f>
        <v>7.45876288659794</v>
      </c>
      <c r="E8" s="18" t="n">
        <f aca="false">AVERAGE('טבלת אב'!W2:W98)</f>
        <v>7.40666666666667</v>
      </c>
    </row>
    <row r="9" customFormat="false" ht="15" hidden="false" customHeight="true" outlineLevel="0" collapsed="false">
      <c r="B9" s="17" t="s">
        <v>103</v>
      </c>
      <c r="C9" s="18" t="n">
        <f aca="false">AVERAGE('טבלת אב'!O2:O98)</f>
        <v>1.97916666666667</v>
      </c>
      <c r="D9" s="18" t="n">
        <f aca="false">AVERAGE('טבלת אב'!S2:S98)</f>
        <v>3.49484536082474</v>
      </c>
      <c r="E9" s="18" t="n">
        <f aca="false">AVERAGE('טבלת אב'!X2:X98)</f>
        <v>4.26666666666667</v>
      </c>
    </row>
    <row r="10" customFormat="false" ht="15" hidden="false" customHeight="true" outlineLevel="0" collapsed="false"/>
    <row r="11" customFormat="false" ht="15" hidden="false" customHeight="true" outlineLevel="0" collapsed="false">
      <c r="B11" s="20" t="s">
        <v>104</v>
      </c>
      <c r="C11" s="20"/>
      <c r="D11" s="20"/>
      <c r="E11" s="20"/>
    </row>
    <row r="12" customFormat="false" ht="15" hidden="false" customHeight="true" outlineLevel="0" collapsed="false">
      <c r="B12" s="28" t="s">
        <v>96</v>
      </c>
      <c r="C12" s="28" t="s">
        <v>105</v>
      </c>
      <c r="D12" s="28" t="s">
        <v>106</v>
      </c>
      <c r="E12" s="28" t="s">
        <v>79</v>
      </c>
    </row>
    <row r="13" customFormat="false" ht="15" hidden="false" customHeight="true" outlineLevel="0" collapsed="false">
      <c r="B13" s="17" t="s">
        <v>100</v>
      </c>
      <c r="C13" s="29" t="n">
        <f aca="false">AVERAGE('טבלת אב'!AH2:AH98)</f>
        <v>-0.984375</v>
      </c>
      <c r="D13" s="18" t="n">
        <f aca="false">AVERAGE('טבלת אב'!AH2:AH98)/(STDEV('טבלת אב'!AH2:AH98)/SQRT(COUNT('טבלת אב'!AH2:AH98)))</f>
        <v>-5.718656046126</v>
      </c>
      <c r="E13" s="30" t="n">
        <f aca="false">TDIST(MAX(ABS(D13),0.000000001),COUNT('טבלת אב'!AH2:AH98)-1,2)</f>
        <v>1.23847750592651E-007</v>
      </c>
    </row>
    <row r="14" customFormat="false" ht="15" hidden="false" customHeight="true" outlineLevel="0" collapsed="false">
      <c r="B14" s="17" t="s">
        <v>101</v>
      </c>
      <c r="C14" s="29" t="n">
        <f aca="false">AVERAGE('טבלת אב'!AI2:AI98)</f>
        <v>-1.20833333333333</v>
      </c>
      <c r="D14" s="18" t="n">
        <f aca="false">AVERAGE('טבלת אב'!AI2:AI98)/(STDEV('טבלת אב'!AI2:AI98)/SQRT(COUNT('טבלת אב'!AI2:AI98)))</f>
        <v>-7.10426811113009</v>
      </c>
      <c r="E14" s="30" t="n">
        <f aca="false">TDIST(MAX(ABS(D14),0.000000001),COUNT('טבלת אב'!AI2:AI98)-1,2)</f>
        <v>2.20692187013813E-010</v>
      </c>
    </row>
    <row r="15" customFormat="false" ht="15" hidden="false" customHeight="true" outlineLevel="0" collapsed="false">
      <c r="B15" s="17" t="s">
        <v>102</v>
      </c>
      <c r="C15" s="29" t="n">
        <f aca="false">AVERAGE('טבלת אב'!AJ2:AJ98)</f>
        <v>-1.06770833333333</v>
      </c>
      <c r="D15" s="18" t="n">
        <f aca="false">AVERAGE('טבלת אב'!AJ2:AJ98)/(STDEV('טבלת אב'!AJ2:AJ98)/SQRT(COUNT('טבלת אב'!AJ2:AJ98)))</f>
        <v>-5.61885287678393</v>
      </c>
      <c r="E15" s="30" t="n">
        <f aca="false">TDIST(MAX(ABS(D15),0.000000001),COUNT('טבלת אב'!AJ2:AJ98)-1,2)</f>
        <v>1.91333925507863E-007</v>
      </c>
    </row>
    <row r="16" customFormat="false" ht="15" hidden="false" customHeight="true" outlineLevel="0" collapsed="false">
      <c r="B16" s="17" t="s">
        <v>103</v>
      </c>
      <c r="C16" s="29" t="n">
        <f aca="false">AVERAGE('טבלת אב'!AK2:AK98)</f>
        <v>1.54166666666667</v>
      </c>
      <c r="D16" s="18" t="n">
        <f aca="false">AVERAGE('טבלת אב'!AK2:AK98)/(STDEV('טבלת אב'!AK2:AK98)/SQRT(COUNT('טבלת אב'!AK2:AK98)))</f>
        <v>5.25197533913521</v>
      </c>
      <c r="E16" s="30" t="n">
        <f aca="false">TDIST(MAX(ABS(D16),0.000000001),COUNT('טבלת אב'!AK2:AK98)-1,2)</f>
        <v>9.18236715608796E-007</v>
      </c>
    </row>
    <row r="17" customFormat="false" ht="15" hidden="false" customHeight="true" outlineLevel="0" collapsed="false"/>
    <row r="18" customFormat="false" ht="15" hidden="false" customHeight="true" outlineLevel="0" collapsed="false">
      <c r="B18" s="31" t="s">
        <v>107</v>
      </c>
      <c r="C18" s="31"/>
      <c r="D18" s="31"/>
      <c r="E18" s="31"/>
    </row>
    <row r="19" customFormat="false" ht="15" hidden="false" customHeight="true" outlineLevel="0" collapsed="false">
      <c r="B19" s="21" t="s">
        <v>108</v>
      </c>
      <c r="C19" s="24" t="n">
        <f aca="false">AVERAGE('טבלת אב'!AB2:AB98)</f>
        <v>7.01315789473684</v>
      </c>
    </row>
    <row r="20" customFormat="false" ht="15" hidden="false" customHeight="true" outlineLevel="0" collapsed="false">
      <c r="B20" s="21" t="s">
        <v>109</v>
      </c>
      <c r="C20" s="24" t="n">
        <f aca="false">AVERAGE('טבלת אב'!AC2:AC98)</f>
        <v>7.36842105263158</v>
      </c>
    </row>
    <row r="21" customFormat="false" ht="15" hidden="false" customHeight="true" outlineLevel="0" collapsed="false">
      <c r="B21" s="21" t="s">
        <v>110</v>
      </c>
      <c r="C21" s="24" t="n">
        <f aca="false">AVERAGE('טבלת אב'!AL2:AL98)/(STDEV('טבלת אב'!AL2:AL98)/SQRT(COUNT('טבלת אב'!AL2:AL98)))</f>
        <v>1.69837074937167</v>
      </c>
    </row>
    <row r="22" customFormat="false" ht="15" hidden="false" customHeight="true" outlineLevel="0" collapsed="false">
      <c r="B22" s="21" t="s">
        <v>111</v>
      </c>
      <c r="C22" s="32" t="n">
        <f aca="false">TDIST(MAX(ABS(C21),0.000000001),COUNT('טבלת אב'!AL2:AL98)-1,2)</f>
        <v>0.0935831567548818</v>
      </c>
    </row>
    <row r="23" customFormat="false" ht="15" hidden="false" customHeight="true" outlineLevel="0" collapsed="false">
      <c r="B23" s="21" t="s">
        <v>112</v>
      </c>
      <c r="C23" s="24" t="n">
        <f aca="false">AVERAGE('טבלת אב'!AD2:AD98)</f>
        <v>6.01315789473684</v>
      </c>
    </row>
    <row r="24" customFormat="false" ht="15" hidden="false" customHeight="true" outlineLevel="0" collapsed="false">
      <c r="B24" s="21" t="s">
        <v>113</v>
      </c>
      <c r="C24" s="24" t="n">
        <f aca="false">AVERAGE('טבלת אב'!AE2:AE98)</f>
        <v>6.78947368421053</v>
      </c>
    </row>
    <row r="25" customFormat="false" ht="15" hidden="false" customHeight="true" outlineLevel="0" collapsed="false">
      <c r="B25" s="21" t="s">
        <v>114</v>
      </c>
      <c r="C25" s="24" t="n">
        <f aca="false">AVERAGE('טבלת אב'!AM2:AM98)/(STDEV('טבלת אב'!AM2:AM98)/SQRT(COUNT('טבלת אב'!AM2:AM98)))</f>
        <v>3.08392323063352</v>
      </c>
    </row>
    <row r="26" customFormat="false" ht="15" hidden="false" customHeight="true" outlineLevel="0" collapsed="false">
      <c r="B26" s="21" t="s">
        <v>115</v>
      </c>
      <c r="C26" s="32" t="n">
        <f aca="false">TDIST(MAX(ABS(C25),0.000000001),COUNT('טבלת אב'!AM2:AM98)-1,2)</f>
        <v>0.00285913703705936</v>
      </c>
    </row>
    <row r="27" customFormat="false" ht="15.75" hidden="false" customHeight="true" outlineLevel="0" collapsed="false"/>
    <row r="28" customFormat="false" ht="15" hidden="false" customHeight="true" outlineLevel="0" collapsed="false">
      <c r="B28" s="33" t="s">
        <v>116</v>
      </c>
      <c r="C28" s="33"/>
      <c r="D28" s="33"/>
      <c r="E28" s="33"/>
    </row>
    <row r="29" customFormat="false" ht="15" hidden="false" customHeight="true" outlineLevel="0" collapsed="false">
      <c r="B29" s="21" t="s">
        <v>117</v>
      </c>
      <c r="C29" s="26" t="n">
        <f aca="false">COUNTIF('טבלת אב'!AA2:AA98,"בהליכה עם רצועה")</f>
        <v>42</v>
      </c>
    </row>
    <row r="30" customFormat="false" ht="15" hidden="false" customHeight="true" outlineLevel="0" collapsed="false">
      <c r="B30" s="21" t="s">
        <v>118</v>
      </c>
      <c r="C30" s="26" t="n">
        <f aca="false">COUNTIF('טבלת אב'!AA2:AA98,"בהליכה ללא רצועה")</f>
        <v>17</v>
      </c>
    </row>
    <row r="31" customFormat="false" ht="15" hidden="false" customHeight="true" outlineLevel="0" collapsed="false">
      <c r="B31" s="21" t="s">
        <v>119</v>
      </c>
      <c r="C31" s="26" t="n">
        <f aca="false">COUNTIF('טבלת אב'!AA2:AA98,"לא הרגשתי הבדל בין המצבים")</f>
        <v>12</v>
      </c>
    </row>
    <row r="32" customFormat="false" ht="15" hidden="false" customHeight="true" outlineLevel="0" collapsed="false">
      <c r="B32" s="21" t="s">
        <v>120</v>
      </c>
      <c r="C32" s="26" t="n">
        <f aca="false">COUNTIF('טבלת אב'!AA2:AA98,"אף פעם לא הרגשתי שהוא שותף להליכה")</f>
        <v>5</v>
      </c>
    </row>
    <row r="33" customFormat="false" ht="15.75" hidden="false" customHeight="true" outlineLevel="0" collapsed="false"/>
    <row r="34" customFormat="false" ht="15" hidden="false" customHeight="true" outlineLevel="0" collapsed="false">
      <c r="B34" s="34" t="s">
        <v>121</v>
      </c>
      <c r="C34" s="34"/>
      <c r="D34" s="34"/>
      <c r="E34" s="34"/>
    </row>
    <row r="35" customFormat="false" ht="21.75" hidden="false" customHeight="true" outlineLevel="0" collapsed="false">
      <c r="B35" s="14" t="s">
        <v>122</v>
      </c>
      <c r="C35" s="14"/>
      <c r="D35" s="14"/>
      <c r="E35" s="14"/>
    </row>
    <row r="36" customFormat="false" ht="15" hidden="false" customHeight="true" outlineLevel="0" collapsed="false">
      <c r="B36" s="21" t="s">
        <v>123</v>
      </c>
      <c r="C36" s="24" t="n">
        <f aca="false">CORREL('טבלת אב'!I2:I98,'טבלת אב'!R2:R98)</f>
        <v>-0.428596856339546</v>
      </c>
    </row>
    <row r="37" customFormat="false" ht="15" hidden="false" customHeight="true" outlineLevel="0" collapsed="false">
      <c r="B37" s="21" t="s">
        <v>124</v>
      </c>
      <c r="C37" s="24" t="n">
        <f aca="false">CORREL('טבלת אב'!I2:I98,'טבלת אב'!P2:P98)</f>
        <v>-0.302677372735421</v>
      </c>
    </row>
    <row r="38" customFormat="false" ht="15" hidden="false" customHeight="true" outlineLevel="0" collapsed="false">
      <c r="B38" s="21" t="s">
        <v>125</v>
      </c>
      <c r="C38" s="24" t="n">
        <f aca="false">CORREL('טבלת אב'!I2:I98,'טבלת אב'!S2:S98)</f>
        <v>0.29522382228745</v>
      </c>
    </row>
    <row r="39" customFormat="false" ht="15" hidden="false" customHeight="true" outlineLevel="0" collapsed="false">
      <c r="B39" s="21" t="s">
        <v>126</v>
      </c>
      <c r="C39" s="24" t="n">
        <f aca="false">CORREL('טבלת אב'!I2:I98,'טבלת אב'!Q2:Q98)</f>
        <v>-0.185832065913677</v>
      </c>
    </row>
    <row r="40" customFormat="false" ht="15.75" hidden="false" customHeight="true" outlineLevel="0" collapsed="false"/>
    <row r="41" customFormat="false" ht="15" hidden="false" customHeight="true" outlineLevel="0" collapsed="false">
      <c r="B41" s="35" t="s">
        <v>127</v>
      </c>
      <c r="C41" s="35"/>
      <c r="D41" s="35"/>
      <c r="E41" s="35"/>
    </row>
    <row r="42" customFormat="false" ht="15" hidden="false" customHeight="true" outlineLevel="0" collapsed="false">
      <c r="B42" s="21" t="s">
        <v>128</v>
      </c>
      <c r="C42" s="24" t="n">
        <f aca="false">AVERAGE('טבלת אב'!AF2:AF98)</f>
        <v>7.46666666666667</v>
      </c>
    </row>
    <row r="43" customFormat="false" ht="15" hidden="false" customHeight="true" outlineLevel="0" collapsed="false">
      <c r="B43" s="21" t="s">
        <v>129</v>
      </c>
      <c r="C43" s="24" t="n">
        <f aca="false">AVERAGE('טבלת אב'!AG2:AG98)</f>
        <v>5.73333333333333</v>
      </c>
    </row>
    <row r="44" customFormat="false" ht="15" hidden="false" customHeight="true" outlineLevel="0" collapsed="false">
      <c r="B44" s="21" t="s">
        <v>130</v>
      </c>
      <c r="C44" s="26" t="n">
        <f aca="false">COUNTIF('טבלת אב'!Z2:Z98,"כן")</f>
        <v>30</v>
      </c>
    </row>
    <row r="45" customFormat="false" ht="15" hidden="false" customHeight="true" outlineLevel="0" collapsed="false">
      <c r="B45" s="21" t="s">
        <v>131</v>
      </c>
      <c r="C45" s="26" t="n">
        <f aca="false">COUNTIF('טבלת אב'!Z2:Z98,"לא")</f>
        <v>46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B1:E1"/>
    <mergeCell ref="B2:E2"/>
    <mergeCell ref="B4:E4"/>
    <mergeCell ref="B11:E11"/>
    <mergeCell ref="B18:E18"/>
    <mergeCell ref="B28:E28"/>
    <mergeCell ref="B34:E34"/>
    <mergeCell ref="B35:E35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5"/>
    <col collapsed="false" customWidth="true" hidden="false" outlineLevel="0" max="5" min="5" style="1" width="10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36" t="s">
        <v>132</v>
      </c>
      <c r="C1" s="36"/>
      <c r="D1" s="36"/>
      <c r="E1" s="36"/>
    </row>
    <row r="2" customFormat="false" ht="21.75" hidden="false" customHeight="true" outlineLevel="0" collapsed="false">
      <c r="B2" s="14" t="s">
        <v>133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134</v>
      </c>
      <c r="C4" s="37"/>
      <c r="D4" s="37"/>
      <c r="E4" s="37"/>
    </row>
    <row r="5" customFormat="false" ht="15" hidden="false" customHeight="true" outlineLevel="0" collapsed="false">
      <c r="B5" s="16" t="s">
        <v>135</v>
      </c>
      <c r="C5" s="16" t="s">
        <v>136</v>
      </c>
      <c r="D5" s="16" t="s">
        <v>137</v>
      </c>
    </row>
    <row r="6" customFormat="false" ht="15" hidden="false" customHeight="true" outlineLevel="0" collapsed="false">
      <c r="B6" s="17" t="s">
        <v>138</v>
      </c>
      <c r="C6" s="38" t="s">
        <v>139</v>
      </c>
      <c r="D6" s="38" t="s">
        <v>140</v>
      </c>
    </row>
    <row r="7" customFormat="false" ht="15" hidden="false" customHeight="true" outlineLevel="0" collapsed="false">
      <c r="B7" s="17" t="s">
        <v>141</v>
      </c>
      <c r="C7" s="38" t="s">
        <v>142</v>
      </c>
      <c r="D7" s="38" t="s">
        <v>143</v>
      </c>
    </row>
    <row r="8" customFormat="false" ht="23.25" hidden="false" customHeight="true" outlineLevel="0" collapsed="false">
      <c r="B8" s="39" t="s">
        <v>144</v>
      </c>
      <c r="C8" s="39"/>
      <c r="D8" s="39"/>
      <c r="E8" s="39"/>
    </row>
    <row r="9" customFormat="false" ht="15" hidden="false" customHeight="true" outlineLevel="0" collapsed="false"/>
    <row r="10" customFormat="false" ht="15" hidden="false" customHeight="true" outlineLevel="0" collapsed="false">
      <c r="B10" s="40" t="s">
        <v>145</v>
      </c>
      <c r="C10" s="40"/>
      <c r="D10" s="40"/>
      <c r="E10" s="40"/>
    </row>
    <row r="11" customFormat="false" ht="15" hidden="false" customHeight="true" outlineLevel="0" collapsed="false">
      <c r="B11" s="16" t="s">
        <v>64</v>
      </c>
      <c r="C11" s="16" t="s">
        <v>146</v>
      </c>
      <c r="D11" s="16" t="s">
        <v>137</v>
      </c>
    </row>
    <row r="12" customFormat="false" ht="15" hidden="false" customHeight="true" outlineLevel="0" collapsed="false">
      <c r="B12" s="17" t="s">
        <v>147</v>
      </c>
      <c r="C12" s="38" t="s">
        <v>148</v>
      </c>
      <c r="D12" s="38" t="s">
        <v>149</v>
      </c>
    </row>
    <row r="13" customFormat="false" ht="15" hidden="false" customHeight="true" outlineLevel="0" collapsed="false">
      <c r="B13" s="39" t="s">
        <v>150</v>
      </c>
      <c r="C13" s="39"/>
      <c r="D13" s="39"/>
      <c r="E13" s="39"/>
    </row>
    <row r="14" customFormat="false" ht="15" hidden="false" customHeight="true" outlineLevel="0" collapsed="false"/>
    <row r="15" customFormat="false" ht="15" hidden="false" customHeight="true" outlineLevel="0" collapsed="false">
      <c r="B15" s="41" t="s">
        <v>151</v>
      </c>
      <c r="C15" s="41"/>
      <c r="D15" s="41"/>
      <c r="E15" s="41"/>
    </row>
    <row r="16" customFormat="false" ht="15" hidden="false" customHeight="true" outlineLevel="0" collapsed="false">
      <c r="B16" s="16" t="s">
        <v>152</v>
      </c>
      <c r="C16" s="16" t="s">
        <v>153</v>
      </c>
      <c r="D16" s="16" t="s">
        <v>154</v>
      </c>
      <c r="E16" s="16" t="s">
        <v>155</v>
      </c>
    </row>
    <row r="17" customFormat="false" ht="15" hidden="false" customHeight="true" outlineLevel="0" collapsed="false">
      <c r="B17" s="17" t="s">
        <v>156</v>
      </c>
      <c r="C17" s="42" t="n">
        <f aca="false">AVERAGE('טבלת אב'!AO2:AO98)</f>
        <v>0.119179942878613</v>
      </c>
      <c r="D17" s="42" t="n">
        <f aca="false">AVERAGE('טבלת אב'!AP2:AP98)</f>
        <v>0.119060061028108</v>
      </c>
      <c r="E17" s="38" t="s">
        <v>157</v>
      </c>
    </row>
    <row r="18" customFormat="false" ht="15" hidden="false" customHeight="true" outlineLevel="0" collapsed="false">
      <c r="B18" s="17" t="s">
        <v>158</v>
      </c>
      <c r="C18" s="38" t="s">
        <v>159</v>
      </c>
      <c r="D18" s="38" t="s">
        <v>160</v>
      </c>
      <c r="E18" s="38" t="s">
        <v>161</v>
      </c>
    </row>
    <row r="19" customFormat="false" ht="15" hidden="false" customHeight="true" outlineLevel="0" collapsed="false">
      <c r="B19" s="17" t="s">
        <v>162</v>
      </c>
      <c r="C19" s="38" t="s">
        <v>163</v>
      </c>
      <c r="D19" s="38" t="s">
        <v>164</v>
      </c>
      <c r="E19" s="38" t="s">
        <v>165</v>
      </c>
    </row>
    <row r="20" customFormat="false" ht="23.25" hidden="false" customHeight="true" outlineLevel="0" collapsed="false">
      <c r="B20" s="39" t="s">
        <v>166</v>
      </c>
      <c r="C20" s="39"/>
      <c r="D20" s="39"/>
      <c r="E20" s="39"/>
    </row>
    <row r="21" customFormat="false" ht="15.75" hidden="false" customHeight="true" outlineLevel="0" collapsed="false"/>
    <row r="22" customFormat="false" ht="15" hidden="false" customHeight="true" outlineLevel="0" collapsed="false">
      <c r="B22" s="31" t="s">
        <v>167</v>
      </c>
      <c r="C22" s="31"/>
      <c r="D22" s="31"/>
      <c r="E22" s="31"/>
    </row>
    <row r="23" customFormat="false" ht="15" hidden="false" customHeight="true" outlineLevel="0" collapsed="false">
      <c r="B23" s="16" t="s">
        <v>168</v>
      </c>
      <c r="C23" s="16" t="s">
        <v>153</v>
      </c>
      <c r="D23" s="16" t="s">
        <v>154</v>
      </c>
    </row>
    <row r="24" customFormat="false" ht="15" hidden="false" customHeight="true" outlineLevel="0" collapsed="false">
      <c r="B24" s="17" t="s">
        <v>169</v>
      </c>
      <c r="C24" s="38" t="s">
        <v>170</v>
      </c>
      <c r="D24" s="38" t="s">
        <v>171</v>
      </c>
    </row>
    <row r="25" customFormat="false" ht="15" hidden="false" customHeight="true" outlineLevel="0" collapsed="false">
      <c r="B25" s="17" t="s">
        <v>172</v>
      </c>
      <c r="C25" s="38" t="s">
        <v>173</v>
      </c>
      <c r="D25" s="38" t="s">
        <v>174</v>
      </c>
    </row>
    <row r="26" customFormat="false" ht="15" hidden="false" customHeight="true" outlineLevel="0" collapsed="false">
      <c r="B26" s="17" t="s">
        <v>175</v>
      </c>
      <c r="C26" s="38" t="s">
        <v>176</v>
      </c>
      <c r="D26" s="38" t="s">
        <v>177</v>
      </c>
    </row>
    <row r="27" customFormat="false" ht="23.25" hidden="false" customHeight="true" outlineLevel="0" collapsed="false">
      <c r="B27" s="39" t="s">
        <v>178</v>
      </c>
      <c r="C27" s="39"/>
      <c r="D27" s="39"/>
      <c r="E27" s="39"/>
    </row>
    <row r="28" customFormat="false" ht="15.75" hidden="false" customHeight="true" outlineLevel="0" collapsed="false"/>
    <row r="29" customFormat="false" ht="15" hidden="false" customHeight="true" outlineLevel="0" collapsed="false">
      <c r="B29" s="15" t="s">
        <v>179</v>
      </c>
      <c r="C29" s="15"/>
      <c r="D29" s="15"/>
      <c r="E29" s="15"/>
    </row>
    <row r="30" customFormat="false" ht="39" hidden="false" customHeight="true" outlineLevel="0" collapsed="false">
      <c r="B30" s="43" t="s">
        <v>180</v>
      </c>
      <c r="C30" s="43"/>
      <c r="D30" s="43"/>
      <c r="E30" s="43"/>
    </row>
    <row r="31" customFormat="false" ht="15.75" hidden="false" customHeight="true" outlineLevel="0" collapsed="false"/>
    <row r="32" customFormat="false" ht="21.75" hidden="false" customHeight="true" outlineLevel="0" collapsed="false">
      <c r="B32" s="14" t="s">
        <v>181</v>
      </c>
      <c r="C32" s="14"/>
      <c r="D32" s="14"/>
      <c r="E32" s="14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B1:E1"/>
    <mergeCell ref="B2:E2"/>
    <mergeCell ref="B4:E4"/>
    <mergeCell ref="B8:E8"/>
    <mergeCell ref="B10:E10"/>
    <mergeCell ref="B13:E13"/>
    <mergeCell ref="B15:E15"/>
    <mergeCell ref="B20:E20"/>
    <mergeCell ref="B22:E22"/>
    <mergeCell ref="B27:E27"/>
    <mergeCell ref="B29:E29"/>
    <mergeCell ref="B30:E3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17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182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183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184</v>
      </c>
      <c r="C4" s="37"/>
      <c r="D4" s="37"/>
      <c r="E4" s="37"/>
      <c r="F4" s="37"/>
    </row>
    <row r="5" customFormat="false" ht="23.25" hidden="false" customHeight="true" outlineLevel="0" collapsed="false">
      <c r="B5" s="44" t="s">
        <v>185</v>
      </c>
      <c r="C5" s="44"/>
      <c r="D5" s="44"/>
      <c r="E5" s="44"/>
      <c r="F5" s="44"/>
    </row>
    <row r="6" customFormat="false" ht="23.25" hidden="false" customHeight="true" outlineLevel="0" collapsed="false">
      <c r="B6" s="44" t="s">
        <v>186</v>
      </c>
      <c r="C6" s="44"/>
      <c r="D6" s="44"/>
      <c r="E6" s="44"/>
      <c r="F6" s="44"/>
    </row>
    <row r="7" customFormat="false" ht="15" hidden="false" customHeight="true" outlineLevel="0" collapsed="false"/>
    <row r="8" customFormat="false" ht="15" hidden="false" customHeight="true" outlineLevel="0" collapsed="false">
      <c r="B8" s="37" t="s">
        <v>187</v>
      </c>
      <c r="C8" s="37"/>
      <c r="D8" s="37"/>
      <c r="E8" s="37"/>
      <c r="F8" s="37"/>
    </row>
    <row r="9" customFormat="false" ht="23.25" hidden="false" customHeight="true" outlineLevel="0" collapsed="false">
      <c r="B9" s="44" t="s">
        <v>188</v>
      </c>
      <c r="C9" s="44"/>
      <c r="D9" s="44"/>
      <c r="E9" s="44"/>
      <c r="F9" s="44"/>
    </row>
    <row r="10" customFormat="false" ht="23.25" hidden="false" customHeight="true" outlineLevel="0" collapsed="false">
      <c r="B10" s="44" t="s">
        <v>189</v>
      </c>
      <c r="C10" s="44"/>
      <c r="D10" s="44"/>
      <c r="E10" s="44"/>
      <c r="F10" s="44"/>
    </row>
    <row r="11" customFormat="false" ht="15" hidden="false" customHeight="true" outlineLevel="0" collapsed="false"/>
    <row r="12" customFormat="false" ht="15" hidden="false" customHeight="true" outlineLevel="0" collapsed="false">
      <c r="B12" s="37" t="s">
        <v>190</v>
      </c>
      <c r="C12" s="37"/>
      <c r="D12" s="37"/>
      <c r="E12" s="37"/>
      <c r="F12" s="37"/>
    </row>
    <row r="13" customFormat="false" ht="23.25" hidden="false" customHeight="true" outlineLevel="0" collapsed="false">
      <c r="B13" s="44" t="s">
        <v>191</v>
      </c>
      <c r="C13" s="44"/>
      <c r="D13" s="44"/>
      <c r="E13" s="44"/>
      <c r="F13" s="44"/>
    </row>
    <row r="14" customFormat="false" ht="23.25" hidden="false" customHeight="true" outlineLevel="0" collapsed="false">
      <c r="B14" s="39" t="s">
        <v>192</v>
      </c>
      <c r="C14" s="39"/>
      <c r="D14" s="39"/>
      <c r="E14" s="39"/>
      <c r="F14" s="39"/>
    </row>
    <row r="15" customFormat="false" ht="15" hidden="false" customHeight="true" outlineLevel="0" collapsed="false"/>
    <row r="16" customFormat="false" ht="15" hidden="false" customHeight="true" outlineLevel="0" collapsed="false">
      <c r="B16" s="37" t="s">
        <v>193</v>
      </c>
      <c r="C16" s="37"/>
      <c r="D16" s="37"/>
      <c r="E16" s="37"/>
      <c r="F16" s="37"/>
    </row>
    <row r="17" customFormat="false" ht="23.25" hidden="false" customHeight="true" outlineLevel="0" collapsed="false">
      <c r="B17" s="44" t="s">
        <v>194</v>
      </c>
      <c r="C17" s="44"/>
      <c r="D17" s="44"/>
      <c r="E17" s="44"/>
      <c r="F17" s="44"/>
    </row>
    <row r="18" customFormat="false" ht="15" hidden="false" customHeight="true" outlineLevel="0" collapsed="false"/>
    <row r="19" customFormat="false" ht="15" hidden="false" customHeight="true" outlineLevel="0" collapsed="false">
      <c r="B19" s="37" t="s">
        <v>195</v>
      </c>
      <c r="C19" s="37"/>
      <c r="D19" s="37"/>
      <c r="E19" s="37"/>
      <c r="F19" s="37"/>
    </row>
    <row r="20" customFormat="false" ht="23.25" hidden="false" customHeight="true" outlineLevel="0" collapsed="false">
      <c r="B20" s="44" t="s">
        <v>196</v>
      </c>
      <c r="C20" s="44"/>
      <c r="D20" s="44"/>
      <c r="E20" s="44"/>
      <c r="F20" s="44"/>
    </row>
    <row r="21" customFormat="false" ht="15.75" hidden="false" customHeight="true" outlineLevel="0" collapsed="false"/>
    <row r="22" customFormat="false" ht="15" hidden="false" customHeight="true" outlineLevel="0" collapsed="false">
      <c r="B22" s="15" t="s">
        <v>179</v>
      </c>
      <c r="C22" s="15"/>
      <c r="D22" s="15"/>
      <c r="E22" s="15"/>
      <c r="F22" s="15"/>
    </row>
    <row r="23" customFormat="false" ht="39" hidden="false" customHeight="true" outlineLevel="0" collapsed="false">
      <c r="B23" s="43" t="s">
        <v>197</v>
      </c>
      <c r="C23" s="43"/>
      <c r="D23" s="43"/>
      <c r="E23" s="43"/>
      <c r="F23" s="43"/>
    </row>
    <row r="24" customFormat="false" ht="15.75" hidden="false" customHeight="true" outlineLevel="0" collapsed="false"/>
    <row r="25" customFormat="false" ht="15" hidden="false" customHeight="true" outlineLevel="0" collapsed="false">
      <c r="B25" s="45" t="s">
        <v>198</v>
      </c>
      <c r="C25" s="45"/>
      <c r="D25" s="45"/>
      <c r="E25" s="45"/>
      <c r="F25" s="45"/>
    </row>
    <row r="26" customFormat="false" ht="42.75" hidden="false" customHeight="true" outlineLevel="0" collapsed="false">
      <c r="B26" s="14" t="s">
        <v>199</v>
      </c>
      <c r="C26" s="14"/>
      <c r="D26" s="14"/>
      <c r="E26" s="14"/>
      <c r="F26" s="1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B1:F1"/>
    <mergeCell ref="B2:F2"/>
    <mergeCell ref="B4:F4"/>
    <mergeCell ref="B5:F5"/>
    <mergeCell ref="B6:F6"/>
    <mergeCell ref="B8:F8"/>
    <mergeCell ref="B9:F9"/>
    <mergeCell ref="B10:F10"/>
    <mergeCell ref="B12:F12"/>
    <mergeCell ref="B13:F13"/>
    <mergeCell ref="B14:F14"/>
    <mergeCell ref="B16:F16"/>
    <mergeCell ref="B17:F17"/>
    <mergeCell ref="B19:F19"/>
    <mergeCell ref="B20:F20"/>
    <mergeCell ref="B22:F22"/>
    <mergeCell ref="B23:F23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200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201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0</v>
      </c>
    </row>
    <row r="5" customFormat="false" ht="15" hidden="false" customHeight="true" outlineLevel="0" collapsed="false">
      <c r="B5" s="46" t="s">
        <v>206</v>
      </c>
      <c r="C5" s="47" t="n">
        <v>34</v>
      </c>
      <c r="D5" s="48" t="n">
        <v>0.71</v>
      </c>
      <c r="E5" s="47" t="s">
        <v>207</v>
      </c>
      <c r="F5" s="47" t="s">
        <v>52</v>
      </c>
    </row>
    <row r="6" customFormat="false" ht="15" hidden="false" customHeight="true" outlineLevel="0" collapsed="false">
      <c r="B6" s="21" t="s">
        <v>208</v>
      </c>
      <c r="C6" s="38" t="n">
        <v>27</v>
      </c>
      <c r="D6" s="49" t="n">
        <v>1.08</v>
      </c>
      <c r="E6" s="38" t="s">
        <v>209</v>
      </c>
      <c r="F6" s="38" t="s">
        <v>52</v>
      </c>
    </row>
    <row r="7" customFormat="false" ht="15" hidden="false" customHeight="true" outlineLevel="0" collapsed="false">
      <c r="B7" s="21" t="s">
        <v>210</v>
      </c>
      <c r="C7" s="38" t="n">
        <v>19</v>
      </c>
      <c r="D7" s="49" t="n">
        <v>0.84</v>
      </c>
      <c r="E7" s="38" t="s">
        <v>211</v>
      </c>
      <c r="F7" s="38" t="s">
        <v>212</v>
      </c>
    </row>
    <row r="8" customFormat="false" ht="15" hidden="false" customHeight="true" outlineLevel="0" collapsed="false"/>
    <row r="9" customFormat="false" ht="15" hidden="false" customHeight="true" outlineLevel="0" collapsed="false">
      <c r="B9" s="41" t="s">
        <v>213</v>
      </c>
      <c r="C9" s="41"/>
      <c r="D9" s="41"/>
      <c r="E9" s="41"/>
      <c r="F9" s="41"/>
    </row>
    <row r="10" customFormat="false" ht="34.5" hidden="false" customHeight="true" outlineLevel="0" collapsed="false">
      <c r="B10" s="44" t="s">
        <v>214</v>
      </c>
      <c r="C10" s="44"/>
      <c r="D10" s="44"/>
      <c r="E10" s="44"/>
      <c r="F10" s="44"/>
    </row>
    <row r="11" customFormat="false" ht="15" hidden="false" customHeight="true" outlineLevel="0" collapsed="false">
      <c r="B11" s="44" t="s">
        <v>215</v>
      </c>
      <c r="C11" s="44"/>
      <c r="D11" s="44"/>
      <c r="E11" s="44"/>
      <c r="F11" s="44"/>
    </row>
    <row r="12" customFormat="false" ht="23.25" hidden="false" customHeight="true" outlineLevel="0" collapsed="false">
      <c r="B12" s="39" t="s">
        <v>216</v>
      </c>
      <c r="C12" s="39"/>
      <c r="D12" s="39"/>
      <c r="E12" s="39"/>
      <c r="F12" s="39"/>
    </row>
    <row r="13" customFormat="false" ht="15" hidden="false" customHeight="true" outlineLevel="0" collapsed="false"/>
    <row r="14" customFormat="false" ht="15" hidden="false" customHeight="true" outlineLevel="0" collapsed="false">
      <c r="B14" s="45" t="s">
        <v>217</v>
      </c>
      <c r="C14" s="45"/>
      <c r="D14" s="45"/>
      <c r="E14" s="45"/>
      <c r="F14" s="45"/>
    </row>
    <row r="15" customFormat="false" ht="42.75" hidden="false" customHeight="true" outlineLevel="0" collapsed="false">
      <c r="B15" s="14" t="s">
        <v>218</v>
      </c>
      <c r="C15" s="14"/>
      <c r="D15" s="14"/>
      <c r="E15" s="14"/>
      <c r="F15" s="14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F1"/>
    <mergeCell ref="B2:F2"/>
    <mergeCell ref="B9:F9"/>
    <mergeCell ref="B10:F10"/>
    <mergeCell ref="B11:F11"/>
    <mergeCell ref="B12:F12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6"/>
  </cols>
  <sheetData>
    <row r="1" customFormat="false" ht="30" hidden="false" customHeight="true" outlineLevel="0" collapsed="false">
      <c r="B1" s="36" t="s">
        <v>219</v>
      </c>
      <c r="C1" s="36"/>
      <c r="D1" s="36"/>
      <c r="E1" s="36"/>
    </row>
    <row r="2" customFormat="false" ht="55.5" hidden="false" customHeight="true" outlineLevel="0" collapsed="false">
      <c r="B2" s="50" t="s">
        <v>220</v>
      </c>
      <c r="C2" s="50"/>
      <c r="D2" s="50"/>
      <c r="E2" s="50"/>
    </row>
    <row r="4" customFormat="false" ht="21.75" hidden="false" customHeight="true" outlineLevel="0" collapsed="false">
      <c r="B4" s="37" t="s">
        <v>221</v>
      </c>
      <c r="C4" s="37"/>
      <c r="D4" s="37"/>
      <c r="E4" s="37"/>
    </row>
    <row r="5" customFormat="false" ht="19.5" hidden="false" customHeight="true" outlineLevel="0" collapsed="false">
      <c r="B5" s="51" t="s">
        <v>222</v>
      </c>
      <c r="C5" s="52" t="s">
        <v>223</v>
      </c>
      <c r="D5" s="52"/>
      <c r="E5" s="52"/>
    </row>
    <row r="6" customFormat="false" ht="27.75" hidden="false" customHeight="true" outlineLevel="0" collapsed="false">
      <c r="B6" s="53" t="s">
        <v>224</v>
      </c>
      <c r="C6" s="54" t="s">
        <v>225</v>
      </c>
      <c r="D6" s="54"/>
      <c r="E6" s="54"/>
    </row>
    <row r="7" customFormat="false" ht="27.75" hidden="false" customHeight="true" outlineLevel="0" collapsed="false">
      <c r="B7" s="53" t="s">
        <v>226</v>
      </c>
      <c r="C7" s="54" t="s">
        <v>227</v>
      </c>
      <c r="D7" s="54"/>
      <c r="E7" s="54"/>
    </row>
    <row r="8" customFormat="false" ht="27.75" hidden="false" customHeight="true" outlineLevel="0" collapsed="false">
      <c r="B8" s="53" t="s">
        <v>228</v>
      </c>
      <c r="C8" s="54" t="s">
        <v>229</v>
      </c>
      <c r="D8" s="54"/>
      <c r="E8" s="54"/>
    </row>
    <row r="9" customFormat="false" ht="43.5" hidden="false" customHeight="true" outlineLevel="0" collapsed="false">
      <c r="B9" s="55" t="s">
        <v>230</v>
      </c>
      <c r="C9" s="55"/>
      <c r="D9" s="55"/>
      <c r="E9" s="55"/>
    </row>
    <row r="11" customFormat="false" ht="21.75" hidden="false" customHeight="true" outlineLevel="0" collapsed="false">
      <c r="B11" s="37" t="s">
        <v>231</v>
      </c>
      <c r="C11" s="37"/>
      <c r="D11" s="37"/>
      <c r="E11" s="37"/>
    </row>
    <row r="12" customFormat="false" ht="19.5" hidden="false" customHeight="true" outlineLevel="0" collapsed="false">
      <c r="B12" s="51" t="s">
        <v>232</v>
      </c>
      <c r="C12" s="51" t="s">
        <v>233</v>
      </c>
      <c r="D12" s="51" t="s">
        <v>234</v>
      </c>
      <c r="E12" s="51" t="s">
        <v>235</v>
      </c>
    </row>
    <row r="13" customFormat="false" ht="19.5" hidden="false" customHeight="true" outlineLevel="0" collapsed="false">
      <c r="B13" s="53" t="s">
        <v>236</v>
      </c>
      <c r="C13" s="56" t="s">
        <v>173</v>
      </c>
      <c r="D13" s="56" t="s">
        <v>174</v>
      </c>
      <c r="E13" s="56" t="s">
        <v>237</v>
      </c>
    </row>
    <row r="14" customFormat="false" ht="19.5" hidden="false" customHeight="true" outlineLevel="0" collapsed="false">
      <c r="B14" s="53" t="s">
        <v>238</v>
      </c>
      <c r="C14" s="56" t="s">
        <v>170</v>
      </c>
      <c r="D14" s="56" t="s">
        <v>171</v>
      </c>
      <c r="E14" s="56" t="s">
        <v>239</v>
      </c>
    </row>
    <row r="15" customFormat="false" ht="30" hidden="false" customHeight="true" outlineLevel="0" collapsed="false">
      <c r="B15" s="55" t="s">
        <v>240</v>
      </c>
      <c r="C15" s="55"/>
      <c r="D15" s="55"/>
      <c r="E15" s="55"/>
    </row>
    <row r="17" customFormat="false" ht="21.75" hidden="false" customHeight="true" outlineLevel="0" collapsed="false">
      <c r="B17" s="37" t="s">
        <v>241</v>
      </c>
      <c r="C17" s="37"/>
      <c r="D17" s="37"/>
      <c r="E17" s="37"/>
    </row>
    <row r="18" customFormat="false" ht="30" hidden="false" customHeight="true" outlineLevel="0" collapsed="false">
      <c r="B18" s="55" t="s">
        <v>242</v>
      </c>
      <c r="C18" s="55"/>
      <c r="D18" s="55"/>
      <c r="E18" s="55"/>
    </row>
    <row r="19" customFormat="false" ht="19.5" hidden="false" customHeight="true" outlineLevel="0" collapsed="false">
      <c r="B19" s="51" t="s">
        <v>243</v>
      </c>
      <c r="C19" s="51" t="s">
        <v>244</v>
      </c>
      <c r="D19" s="52" t="s">
        <v>245</v>
      </c>
      <c r="E19" s="52"/>
    </row>
    <row r="20" customFormat="false" ht="19.5" hidden="false" customHeight="true" outlineLevel="0" collapsed="false">
      <c r="B20" s="53" t="s">
        <v>246</v>
      </c>
      <c r="C20" s="56" t="s">
        <v>247</v>
      </c>
      <c r="D20" s="57" t="s">
        <v>248</v>
      </c>
      <c r="E20" s="57"/>
    </row>
    <row r="21" customFormat="false" ht="19.5" hidden="false" customHeight="true" outlineLevel="0" collapsed="false">
      <c r="B21" s="53" t="s">
        <v>249</v>
      </c>
      <c r="C21" s="56" t="s">
        <v>250</v>
      </c>
      <c r="D21" s="57" t="s">
        <v>251</v>
      </c>
      <c r="E21" s="57"/>
    </row>
    <row r="22" customFormat="false" ht="19.5" hidden="false" customHeight="true" outlineLevel="0" collapsed="false">
      <c r="B22" s="53" t="s">
        <v>252</v>
      </c>
      <c r="C22" s="56" t="s">
        <v>253</v>
      </c>
      <c r="D22" s="57" t="s">
        <v>254</v>
      </c>
      <c r="E22" s="57"/>
    </row>
    <row r="23" customFormat="false" ht="60" hidden="false" customHeight="true" outlineLevel="0" collapsed="false">
      <c r="B23" s="58" t="s">
        <v>255</v>
      </c>
      <c r="C23" s="58"/>
      <c r="D23" s="58"/>
      <c r="E23" s="58"/>
    </row>
    <row r="25" customFormat="false" ht="21.75" hidden="false" customHeight="true" outlineLevel="0" collapsed="false">
      <c r="B25" s="37" t="s">
        <v>256</v>
      </c>
      <c r="C25" s="37"/>
      <c r="D25" s="37"/>
      <c r="E25" s="37"/>
    </row>
    <row r="26" customFormat="false" ht="48" hidden="false" customHeight="true" outlineLevel="0" collapsed="false">
      <c r="B26" s="55" t="s">
        <v>257</v>
      </c>
      <c r="C26" s="55"/>
      <c r="D26" s="55"/>
      <c r="E26" s="55"/>
    </row>
    <row r="28" customFormat="false" ht="21.75" hidden="false" customHeight="true" outlineLevel="0" collapsed="false">
      <c r="B28" s="37" t="s">
        <v>258</v>
      </c>
      <c r="C28" s="37"/>
      <c r="D28" s="37"/>
      <c r="E28" s="37"/>
    </row>
    <row r="29" customFormat="false" ht="48" hidden="false" customHeight="true" outlineLevel="0" collapsed="false">
      <c r="B29" s="55" t="s">
        <v>259</v>
      </c>
      <c r="C29" s="55"/>
      <c r="D29" s="55"/>
      <c r="E29" s="55"/>
    </row>
    <row r="31" customFormat="false" ht="57.75" hidden="false" customHeight="true" outlineLevel="0" collapsed="false">
      <c r="B31" s="59" t="s">
        <v>260</v>
      </c>
      <c r="C31" s="59"/>
      <c r="D31" s="59"/>
      <c r="E31" s="59"/>
    </row>
    <row r="33" customFormat="false" ht="33.75" hidden="false" customHeight="true" outlineLevel="0" collapsed="false">
      <c r="B33" s="55" t="s">
        <v>261</v>
      </c>
      <c r="C33" s="55"/>
      <c r="D33" s="55"/>
      <c r="E33" s="55"/>
    </row>
  </sheetData>
  <mergeCells count="23">
    <mergeCell ref="B1:E1"/>
    <mergeCell ref="B2:E2"/>
    <mergeCell ref="B4:E4"/>
    <mergeCell ref="C5:E5"/>
    <mergeCell ref="C6:E6"/>
    <mergeCell ref="C7:E7"/>
    <mergeCell ref="C8:E8"/>
    <mergeCell ref="B9:E9"/>
    <mergeCell ref="B11:E11"/>
    <mergeCell ref="B15:E15"/>
    <mergeCell ref="B17:E17"/>
    <mergeCell ref="B18:E18"/>
    <mergeCell ref="D19:E19"/>
    <mergeCell ref="D20:E20"/>
    <mergeCell ref="D21:E21"/>
    <mergeCell ref="D22:E22"/>
    <mergeCell ref="B23:E23"/>
    <mergeCell ref="B25:E25"/>
    <mergeCell ref="B26:E26"/>
    <mergeCell ref="B28:E28"/>
    <mergeCell ref="B29:E29"/>
    <mergeCell ref="B31:E31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262</v>
      </c>
      <c r="C1" s="36"/>
      <c r="D1" s="36"/>
      <c r="E1" s="36"/>
      <c r="F1" s="36"/>
    </row>
    <row r="2" customFormat="false" ht="15" hidden="false" customHeight="true" outlineLevel="0" collapsed="false">
      <c r="B2" s="14" t="s">
        <v>263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264</v>
      </c>
      <c r="C4" s="37"/>
      <c r="D4" s="37"/>
      <c r="E4" s="37"/>
      <c r="F4" s="37"/>
    </row>
    <row r="5" customFormat="false" ht="15" hidden="false" customHeight="true" outlineLevel="0" collapsed="false">
      <c r="B5" s="60" t="s">
        <v>265</v>
      </c>
      <c r="C5" s="60"/>
      <c r="D5" s="60"/>
      <c r="E5" s="60"/>
      <c r="F5" s="60"/>
    </row>
    <row r="6" customFormat="false" ht="15" hidden="false" customHeight="true" outlineLevel="0" collapsed="false">
      <c r="B6" s="16" t="s">
        <v>266</v>
      </c>
      <c r="C6" s="16" t="s">
        <v>267</v>
      </c>
    </row>
    <row r="7" customFormat="false" ht="15" hidden="false" customHeight="true" outlineLevel="0" collapsed="false">
      <c r="B7" s="21" t="s">
        <v>268</v>
      </c>
      <c r="C7" s="38" t="s">
        <v>269</v>
      </c>
    </row>
    <row r="8" customFormat="false" ht="15" hidden="false" customHeight="true" outlineLevel="0" collapsed="false">
      <c r="B8" s="21" t="s">
        <v>270</v>
      </c>
      <c r="C8" s="38" t="s">
        <v>271</v>
      </c>
    </row>
    <row r="9" customFormat="false" ht="23.25" hidden="false" customHeight="true" outlineLevel="0" collapsed="false">
      <c r="B9" s="39" t="s">
        <v>272</v>
      </c>
      <c r="C9" s="39"/>
      <c r="D9" s="39"/>
      <c r="E9" s="39"/>
      <c r="F9" s="39"/>
    </row>
    <row r="10" customFormat="false" ht="15" hidden="false" customHeight="true" outlineLevel="0" collapsed="false"/>
    <row r="11" customFormat="false" ht="15" hidden="false" customHeight="true" outlineLevel="0" collapsed="false">
      <c r="B11" s="37" t="s">
        <v>273</v>
      </c>
      <c r="C11" s="37"/>
      <c r="D11" s="37"/>
      <c r="E11" s="37"/>
      <c r="F11" s="37"/>
    </row>
    <row r="12" customFormat="false" ht="15" hidden="false" customHeight="true" outlineLevel="0" collapsed="false">
      <c r="B12" s="60" t="s">
        <v>274</v>
      </c>
      <c r="C12" s="60"/>
      <c r="D12" s="60"/>
      <c r="E12" s="60"/>
      <c r="F12" s="60"/>
    </row>
    <row r="13" customFormat="false" ht="15" hidden="false" customHeight="true" outlineLevel="0" collapsed="false">
      <c r="B13" s="16" t="s">
        <v>152</v>
      </c>
      <c r="C13" s="16" t="s">
        <v>275</v>
      </c>
      <c r="D13" s="16" t="s">
        <v>276</v>
      </c>
    </row>
    <row r="14" customFormat="false" ht="15" hidden="false" customHeight="true" outlineLevel="0" collapsed="false">
      <c r="B14" s="21" t="s">
        <v>277</v>
      </c>
      <c r="C14" s="38" t="s">
        <v>278</v>
      </c>
      <c r="D14" s="38" t="s">
        <v>279</v>
      </c>
    </row>
    <row r="15" customFormat="false" ht="15" hidden="false" customHeight="true" outlineLevel="0" collapsed="false">
      <c r="B15" s="21" t="s">
        <v>280</v>
      </c>
      <c r="C15" s="38" t="s">
        <v>281</v>
      </c>
      <c r="D15" s="38" t="s">
        <v>282</v>
      </c>
    </row>
    <row r="16" customFormat="false" ht="15" hidden="false" customHeight="true" outlineLevel="0" collapsed="false">
      <c r="B16" s="21" t="s">
        <v>283</v>
      </c>
      <c r="C16" s="38" t="s">
        <v>284</v>
      </c>
      <c r="D16" s="38" t="s">
        <v>285</v>
      </c>
    </row>
    <row r="17" customFormat="false" ht="15" hidden="false" customHeight="true" outlineLevel="0" collapsed="false">
      <c r="B17" s="39" t="s">
        <v>286</v>
      </c>
      <c r="C17" s="39"/>
      <c r="D17" s="39"/>
      <c r="E17" s="39"/>
      <c r="F17" s="39"/>
    </row>
    <row r="18" customFormat="false" ht="15" hidden="false" customHeight="true" outlineLevel="0" collapsed="false"/>
    <row r="19" customFormat="false" ht="15" hidden="false" customHeight="true" outlineLevel="0" collapsed="false">
      <c r="B19" s="37" t="s">
        <v>287</v>
      </c>
      <c r="C19" s="37"/>
      <c r="D19" s="37"/>
      <c r="E19" s="37"/>
      <c r="F19" s="37"/>
    </row>
    <row r="20" customFormat="false" ht="15" hidden="false" customHeight="true" outlineLevel="0" collapsed="false">
      <c r="B20" s="16" t="s">
        <v>288</v>
      </c>
      <c r="C20" s="16" t="s">
        <v>289</v>
      </c>
    </row>
    <row r="21" customFormat="false" ht="15" hidden="false" customHeight="true" outlineLevel="0" collapsed="false">
      <c r="B21" s="21" t="s">
        <v>290</v>
      </c>
      <c r="C21" s="38" t="s">
        <v>291</v>
      </c>
    </row>
    <row r="22" customFormat="false" ht="15" hidden="false" customHeight="true" outlineLevel="0" collapsed="false">
      <c r="B22" s="21" t="s">
        <v>292</v>
      </c>
      <c r="C22" s="38" t="s">
        <v>293</v>
      </c>
    </row>
    <row r="23" customFormat="false" ht="23.25" hidden="false" customHeight="true" outlineLevel="0" collapsed="false">
      <c r="B23" s="39" t="s">
        <v>294</v>
      </c>
      <c r="C23" s="39"/>
      <c r="D23" s="39"/>
      <c r="E23" s="39"/>
      <c r="F23" s="39"/>
    </row>
    <row r="24" customFormat="false" ht="15.75" hidden="false" customHeight="true" outlineLevel="0" collapsed="false"/>
    <row r="25" customFormat="false" ht="15" hidden="false" customHeight="true" outlineLevel="0" collapsed="false">
      <c r="B25" s="14" t="s">
        <v>295</v>
      </c>
      <c r="C25" s="14"/>
      <c r="D25" s="14"/>
      <c r="E25" s="14"/>
      <c r="F25" s="14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B1:F1"/>
    <mergeCell ref="B2:F2"/>
    <mergeCell ref="B4:F4"/>
    <mergeCell ref="B5:F5"/>
    <mergeCell ref="B9:F9"/>
    <mergeCell ref="B11:F11"/>
    <mergeCell ref="B12:F12"/>
    <mergeCell ref="B17:F17"/>
    <mergeCell ref="B19:F19"/>
    <mergeCell ref="B23:F23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13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296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297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298</v>
      </c>
      <c r="C4" s="37"/>
      <c r="D4" s="37"/>
      <c r="E4" s="37"/>
      <c r="F4" s="37"/>
    </row>
    <row r="5" customFormat="false" ht="23.25" hidden="false" customHeight="true" outlineLevel="0" collapsed="false">
      <c r="B5" s="16" t="s">
        <v>96</v>
      </c>
      <c r="C5" s="16" t="s">
        <v>97</v>
      </c>
      <c r="D5" s="16" t="s">
        <v>299</v>
      </c>
      <c r="E5" s="16" t="s">
        <v>300</v>
      </c>
    </row>
    <row r="6" customFormat="false" ht="15" hidden="false" customHeight="true" outlineLevel="0" collapsed="false">
      <c r="B6" s="21" t="s">
        <v>301</v>
      </c>
      <c r="C6" s="38" t="s">
        <v>302</v>
      </c>
      <c r="D6" s="38" t="s">
        <v>303</v>
      </c>
      <c r="E6" s="38" t="s">
        <v>304</v>
      </c>
    </row>
    <row r="7" customFormat="false" ht="15" hidden="false" customHeight="true" outlineLevel="0" collapsed="false">
      <c r="B7" s="21" t="s">
        <v>305</v>
      </c>
      <c r="C7" s="38" t="s">
        <v>306</v>
      </c>
      <c r="D7" s="38" t="s">
        <v>307</v>
      </c>
      <c r="E7" s="38" t="s">
        <v>308</v>
      </c>
    </row>
    <row r="8" customFormat="false" ht="15" hidden="false" customHeight="true" outlineLevel="0" collapsed="false">
      <c r="B8" s="21" t="s">
        <v>309</v>
      </c>
      <c r="C8" s="38" t="s">
        <v>310</v>
      </c>
      <c r="D8" s="38" t="s">
        <v>311</v>
      </c>
      <c r="E8" s="38" t="s">
        <v>312</v>
      </c>
    </row>
    <row r="9" customFormat="false" ht="15" hidden="false" customHeight="true" outlineLevel="0" collapsed="false">
      <c r="B9" s="21" t="s">
        <v>313</v>
      </c>
      <c r="C9" s="38" t="s">
        <v>314</v>
      </c>
      <c r="D9" s="38" t="s">
        <v>315</v>
      </c>
      <c r="E9" s="38" t="s">
        <v>316</v>
      </c>
    </row>
    <row r="10" customFormat="false" ht="34.5" hidden="false" customHeight="true" outlineLevel="0" collapsed="false">
      <c r="B10" s="61" t="s">
        <v>317</v>
      </c>
      <c r="C10" s="61"/>
      <c r="D10" s="61"/>
      <c r="E10" s="61"/>
      <c r="F10" s="61"/>
    </row>
    <row r="11" customFormat="false" ht="15" hidden="false" customHeight="true" outlineLevel="0" collapsed="false"/>
    <row r="12" customFormat="false" ht="15" hidden="false" customHeight="true" outlineLevel="0" collapsed="false">
      <c r="B12" s="41" t="s">
        <v>318</v>
      </c>
      <c r="C12" s="41"/>
      <c r="D12" s="41"/>
      <c r="E12" s="41"/>
      <c r="F12" s="41"/>
    </row>
    <row r="13" customFormat="false" ht="15" hidden="false" customHeight="true" outlineLevel="0" collapsed="false">
      <c r="B13" s="60" t="s">
        <v>319</v>
      </c>
      <c r="C13" s="60"/>
      <c r="D13" s="60"/>
      <c r="E13" s="60"/>
      <c r="F13" s="60"/>
    </row>
    <row r="14" customFormat="false" ht="23.25" hidden="false" customHeight="true" outlineLevel="0" collapsed="false">
      <c r="B14" s="62" t="s">
        <v>320</v>
      </c>
      <c r="C14" s="62" t="s">
        <v>321</v>
      </c>
      <c r="D14" s="62" t="s">
        <v>322</v>
      </c>
    </row>
    <row r="15" customFormat="false" ht="15" hidden="false" customHeight="true" outlineLevel="0" collapsed="false">
      <c r="B15" s="21" t="s">
        <v>323</v>
      </c>
      <c r="C15" s="38" t="s">
        <v>324</v>
      </c>
      <c r="D15" s="38" t="s">
        <v>325</v>
      </c>
    </row>
    <row r="16" customFormat="false" ht="15" hidden="false" customHeight="true" outlineLevel="0" collapsed="false">
      <c r="B16" s="21" t="s">
        <v>326</v>
      </c>
      <c r="C16" s="38" t="s">
        <v>327</v>
      </c>
      <c r="D16" s="38" t="s">
        <v>328</v>
      </c>
    </row>
    <row r="17" customFormat="false" ht="15" hidden="false" customHeight="true" outlineLevel="0" collapsed="false">
      <c r="B17" s="21" t="s">
        <v>329</v>
      </c>
      <c r="C17" s="38" t="s">
        <v>330</v>
      </c>
      <c r="D17" s="38" t="s">
        <v>331</v>
      </c>
    </row>
    <row r="18" customFormat="false" ht="15" hidden="false" customHeight="true" outlineLevel="0" collapsed="false">
      <c r="B18" s="21" t="s">
        <v>332</v>
      </c>
      <c r="C18" s="38" t="s">
        <v>333</v>
      </c>
      <c r="D18" s="38" t="s">
        <v>334</v>
      </c>
    </row>
    <row r="19" customFormat="false" ht="34.5" hidden="false" customHeight="true" outlineLevel="0" collapsed="false">
      <c r="B19" s="39" t="s">
        <v>335</v>
      </c>
      <c r="C19" s="39"/>
      <c r="D19" s="39"/>
      <c r="E19" s="39"/>
      <c r="F19" s="39"/>
    </row>
    <row r="20" customFormat="false" ht="15" hidden="false" customHeight="true" outlineLevel="0" collapsed="false"/>
    <row r="21" customFormat="false" ht="15" hidden="false" customHeight="true" outlineLevel="0" collapsed="false">
      <c r="B21" s="14" t="s">
        <v>336</v>
      </c>
      <c r="C21" s="14"/>
      <c r="D21" s="14"/>
      <c r="E21" s="14"/>
      <c r="F21" s="14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F1"/>
    <mergeCell ref="B2:F2"/>
    <mergeCell ref="B4:F4"/>
    <mergeCell ref="B10:F10"/>
    <mergeCell ref="B12:F12"/>
    <mergeCell ref="B13:F13"/>
    <mergeCell ref="B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5"/>
    <col collapsed="false" customWidth="true" hidden="false" outlineLevel="0" max="6" min="5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63" t="s">
        <v>337</v>
      </c>
      <c r="C1" s="63"/>
      <c r="D1" s="63"/>
      <c r="E1" s="63"/>
      <c r="F1" s="63"/>
    </row>
    <row r="2" customFormat="false" ht="21.75" hidden="false" customHeight="true" outlineLevel="0" collapsed="false">
      <c r="B2" s="14" t="s">
        <v>338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339</v>
      </c>
      <c r="C4" s="37"/>
      <c r="D4" s="37"/>
      <c r="E4" s="37"/>
      <c r="F4" s="37"/>
    </row>
    <row r="5" customFormat="false" ht="15" hidden="false" customHeight="true" outlineLevel="0" collapsed="false">
      <c r="B5" s="16" t="s">
        <v>340</v>
      </c>
      <c r="C5" s="16" t="s">
        <v>153</v>
      </c>
      <c r="D5" s="16" t="s">
        <v>154</v>
      </c>
      <c r="E5" s="16" t="s">
        <v>322</v>
      </c>
    </row>
    <row r="6" customFormat="false" ht="15" hidden="false" customHeight="true" outlineLevel="0" collapsed="false">
      <c r="B6" s="21" t="s">
        <v>341</v>
      </c>
      <c r="C6" s="38" t="s">
        <v>170</v>
      </c>
      <c r="D6" s="38" t="s">
        <v>171</v>
      </c>
      <c r="E6" s="38" t="s">
        <v>342</v>
      </c>
    </row>
    <row r="7" customFormat="false" ht="15" hidden="false" customHeight="true" outlineLevel="0" collapsed="false">
      <c r="B7" s="21" t="s">
        <v>343</v>
      </c>
      <c r="C7" s="38" t="s">
        <v>173</v>
      </c>
      <c r="D7" s="38" t="s">
        <v>174</v>
      </c>
      <c r="E7" s="38" t="s">
        <v>344</v>
      </c>
    </row>
    <row r="8" customFormat="false" ht="15" hidden="false" customHeight="true" outlineLevel="0" collapsed="false"/>
    <row r="9" customFormat="false" ht="15" hidden="false" customHeight="true" outlineLevel="0" collapsed="false">
      <c r="B9" s="37" t="s">
        <v>345</v>
      </c>
      <c r="C9" s="37"/>
      <c r="D9" s="37"/>
      <c r="E9" s="37"/>
      <c r="F9" s="37"/>
    </row>
    <row r="10" customFormat="false" ht="15" hidden="false" customHeight="true" outlineLevel="0" collapsed="false">
      <c r="B10" s="60" t="s">
        <v>346</v>
      </c>
      <c r="C10" s="60"/>
      <c r="D10" s="60"/>
      <c r="E10" s="60"/>
      <c r="F10" s="60"/>
    </row>
    <row r="11" customFormat="false" ht="15" hidden="false" customHeight="true" outlineLevel="0" collapsed="false">
      <c r="B11" s="16" t="s">
        <v>347</v>
      </c>
      <c r="C11" s="16" t="s">
        <v>348</v>
      </c>
    </row>
    <row r="12" customFormat="false" ht="15" hidden="false" customHeight="true" outlineLevel="0" collapsed="false">
      <c r="B12" s="21" t="s">
        <v>47</v>
      </c>
      <c r="C12" s="38" t="s">
        <v>349</v>
      </c>
    </row>
    <row r="13" customFormat="false" ht="15" hidden="false" customHeight="true" outlineLevel="0" collapsed="false">
      <c r="B13" s="21" t="s">
        <v>59</v>
      </c>
      <c r="C13" s="38" t="s">
        <v>350</v>
      </c>
    </row>
    <row r="14" customFormat="false" ht="15" hidden="false" customHeight="true" outlineLevel="0" collapsed="false">
      <c r="B14" s="21" t="s">
        <v>351</v>
      </c>
      <c r="C14" s="38" t="s">
        <v>352</v>
      </c>
    </row>
    <row r="15" customFormat="false" ht="15" hidden="false" customHeight="true" outlineLevel="0" collapsed="false">
      <c r="B15" s="21" t="s">
        <v>353</v>
      </c>
      <c r="C15" s="38" t="s">
        <v>354</v>
      </c>
    </row>
    <row r="16" customFormat="false" ht="23.25" hidden="false" customHeight="true" outlineLevel="0" collapsed="false">
      <c r="B16" s="39" t="s">
        <v>355</v>
      </c>
      <c r="C16" s="39"/>
      <c r="D16" s="39"/>
      <c r="E16" s="39"/>
      <c r="F16" s="39"/>
    </row>
    <row r="17" customFormat="false" ht="15" hidden="false" customHeight="true" outlineLevel="0" collapsed="false"/>
    <row r="18" customFormat="false" ht="15" hidden="false" customHeight="true" outlineLevel="0" collapsed="false">
      <c r="B18" s="31" t="s">
        <v>356</v>
      </c>
      <c r="C18" s="31"/>
      <c r="D18" s="31"/>
      <c r="E18" s="31"/>
      <c r="F18" s="31"/>
    </row>
    <row r="19" customFormat="false" ht="34.5" hidden="false" customHeight="true" outlineLevel="0" collapsed="false">
      <c r="B19" s="64" t="s">
        <v>357</v>
      </c>
      <c r="C19" s="64"/>
      <c r="D19" s="64"/>
      <c r="E19" s="64"/>
      <c r="F19" s="64"/>
    </row>
    <row r="20" customFormat="false" ht="15" hidden="false" customHeight="true" outlineLevel="0" collapsed="false"/>
    <row r="21" customFormat="false" ht="15" hidden="false" customHeight="true" outlineLevel="0" collapsed="false">
      <c r="B21" s="45" t="s">
        <v>358</v>
      </c>
      <c r="C21" s="45"/>
      <c r="D21" s="45"/>
      <c r="E21" s="45"/>
      <c r="F21" s="45"/>
    </row>
    <row r="22" customFormat="false" ht="15" hidden="false" customHeight="true" outlineLevel="0" collapsed="false">
      <c r="B22" s="16" t="s">
        <v>359</v>
      </c>
      <c r="C22" s="16" t="s">
        <v>360</v>
      </c>
    </row>
    <row r="23" customFormat="false" ht="15" hidden="false" customHeight="true" outlineLevel="0" collapsed="false">
      <c r="B23" s="21" t="s">
        <v>361</v>
      </c>
      <c r="C23" s="38" t="s">
        <v>362</v>
      </c>
    </row>
    <row r="24" customFormat="false" ht="15" hidden="false" customHeight="true" outlineLevel="0" collapsed="false">
      <c r="B24" s="21" t="s">
        <v>363</v>
      </c>
      <c r="C24" s="38" t="s">
        <v>364</v>
      </c>
    </row>
    <row r="25" customFormat="false" ht="15" hidden="false" customHeight="true" outlineLevel="0" collapsed="false">
      <c r="B25" s="21" t="s">
        <v>365</v>
      </c>
      <c r="C25" s="38" t="s">
        <v>366</v>
      </c>
    </row>
    <row r="26" customFormat="false" ht="21.75" hidden="false" customHeight="true" outlineLevel="0" collapsed="false">
      <c r="B26" s="14" t="s">
        <v>367</v>
      </c>
      <c r="C26" s="14"/>
      <c r="D26" s="14"/>
      <c r="E26" s="14"/>
      <c r="F26" s="1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B1:F1"/>
    <mergeCell ref="B2:F2"/>
    <mergeCell ref="B4:F4"/>
    <mergeCell ref="B9:F9"/>
    <mergeCell ref="B10:F10"/>
    <mergeCell ref="B16:F16"/>
    <mergeCell ref="B18:F18"/>
    <mergeCell ref="B19:F19"/>
    <mergeCell ref="B21:F21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7"/>
  </cols>
  <sheetData>
    <row r="1" customFormat="false" ht="30" hidden="false" customHeight="true" outlineLevel="0" collapsed="false">
      <c r="B1" s="36" t="s">
        <v>368</v>
      </c>
      <c r="C1" s="36"/>
      <c r="D1" s="36"/>
      <c r="E1" s="36"/>
    </row>
    <row r="2" customFormat="false" ht="42" hidden="false" customHeight="true" outlineLevel="0" collapsed="false">
      <c r="B2" s="50" t="s">
        <v>369</v>
      </c>
      <c r="C2" s="50"/>
      <c r="D2" s="50"/>
      <c r="E2" s="50"/>
    </row>
    <row r="4" customFormat="false" ht="21.75" hidden="false" customHeight="true" outlineLevel="0" collapsed="false">
      <c r="B4" s="37" t="s">
        <v>370</v>
      </c>
      <c r="C4" s="37"/>
      <c r="D4" s="37"/>
      <c r="E4" s="37"/>
    </row>
    <row r="5" customFormat="false" ht="30" hidden="false" customHeight="true" outlineLevel="0" collapsed="false">
      <c r="B5" s="53" t="s">
        <v>371</v>
      </c>
      <c r="C5" s="54" t="s">
        <v>372</v>
      </c>
      <c r="D5" s="54"/>
      <c r="E5" s="54"/>
    </row>
    <row r="6" customFormat="false" ht="30" hidden="false" customHeight="true" outlineLevel="0" collapsed="false">
      <c r="B6" s="53" t="s">
        <v>373</v>
      </c>
      <c r="C6" s="54" t="s">
        <v>374</v>
      </c>
      <c r="D6" s="54"/>
      <c r="E6" s="54"/>
    </row>
    <row r="7" customFormat="false" ht="30" hidden="false" customHeight="true" outlineLevel="0" collapsed="false">
      <c r="B7" s="53" t="s">
        <v>375</v>
      </c>
      <c r="C7" s="54" t="s">
        <v>376</v>
      </c>
      <c r="D7" s="54"/>
      <c r="E7" s="54"/>
    </row>
    <row r="8" customFormat="false" ht="30" hidden="false" customHeight="true" outlineLevel="0" collapsed="false">
      <c r="B8" s="53" t="s">
        <v>377</v>
      </c>
      <c r="C8" s="54" t="s">
        <v>378</v>
      </c>
      <c r="D8" s="54"/>
      <c r="E8" s="54"/>
    </row>
    <row r="9" customFormat="false" ht="30" hidden="false" customHeight="true" outlineLevel="0" collapsed="false">
      <c r="B9" s="53" t="s">
        <v>379</v>
      </c>
      <c r="C9" s="54" t="s">
        <v>380</v>
      </c>
      <c r="D9" s="54"/>
      <c r="E9" s="54"/>
    </row>
    <row r="10" customFormat="false" ht="30" hidden="false" customHeight="true" outlineLevel="0" collapsed="false">
      <c r="B10" s="53" t="s">
        <v>381</v>
      </c>
      <c r="C10" s="54" t="s">
        <v>382</v>
      </c>
      <c r="D10" s="54"/>
      <c r="E10" s="54"/>
    </row>
    <row r="11" customFormat="false" ht="30" hidden="false" customHeight="true" outlineLevel="0" collapsed="false">
      <c r="B11" s="53" t="s">
        <v>383</v>
      </c>
      <c r="C11" s="54" t="s">
        <v>384</v>
      </c>
      <c r="D11" s="54"/>
      <c r="E11" s="54"/>
    </row>
    <row r="12" customFormat="false" ht="30" hidden="false" customHeight="true" outlineLevel="0" collapsed="false">
      <c r="B12" s="53" t="s">
        <v>385</v>
      </c>
      <c r="C12" s="54" t="s">
        <v>386</v>
      </c>
      <c r="D12" s="54"/>
      <c r="E12" s="54"/>
    </row>
    <row r="14" customFormat="false" ht="21.75" hidden="false" customHeight="true" outlineLevel="0" collapsed="false">
      <c r="B14" s="37" t="s">
        <v>387</v>
      </c>
      <c r="C14" s="37"/>
      <c r="D14" s="37"/>
      <c r="E14" s="37"/>
    </row>
    <row r="15" customFormat="false" ht="69.75" hidden="false" customHeight="true" outlineLevel="0" collapsed="false">
      <c r="B15" s="55" t="s">
        <v>388</v>
      </c>
      <c r="C15" s="55"/>
      <c r="D15" s="55"/>
      <c r="E15" s="55"/>
    </row>
    <row r="17" customFormat="false" ht="21.75" hidden="false" customHeight="true" outlineLevel="0" collapsed="false">
      <c r="B17" s="37" t="s">
        <v>389</v>
      </c>
      <c r="C17" s="37"/>
      <c r="D17" s="37"/>
      <c r="E17" s="37"/>
    </row>
    <row r="18" customFormat="false" ht="69.75" hidden="false" customHeight="true" outlineLevel="0" collapsed="false">
      <c r="B18" s="55" t="s">
        <v>390</v>
      </c>
      <c r="C18" s="55"/>
      <c r="D18" s="55"/>
      <c r="E18" s="55"/>
    </row>
    <row r="20" customFormat="false" ht="21.75" hidden="false" customHeight="true" outlineLevel="0" collapsed="false">
      <c r="B20" s="37" t="s">
        <v>391</v>
      </c>
      <c r="C20" s="37"/>
      <c r="D20" s="37"/>
      <c r="E20" s="37"/>
    </row>
    <row r="21" customFormat="false" ht="57.75" hidden="false" customHeight="true" outlineLevel="0" collapsed="false">
      <c r="B21" s="55" t="s">
        <v>392</v>
      </c>
      <c r="C21" s="55"/>
      <c r="D21" s="55"/>
      <c r="E21" s="55"/>
    </row>
    <row r="23" customFormat="false" ht="21.75" hidden="false" customHeight="true" outlineLevel="0" collapsed="false">
      <c r="B23" s="37" t="s">
        <v>393</v>
      </c>
      <c r="C23" s="37"/>
      <c r="D23" s="37"/>
      <c r="E23" s="37"/>
    </row>
    <row r="24" customFormat="false" ht="57.75" hidden="false" customHeight="true" outlineLevel="0" collapsed="false">
      <c r="B24" s="55" t="s">
        <v>394</v>
      </c>
      <c r="C24" s="55"/>
      <c r="D24" s="55"/>
      <c r="E24" s="55"/>
    </row>
    <row r="26" customFormat="false" ht="55.5" hidden="false" customHeight="true" outlineLevel="0" collapsed="false">
      <c r="B26" s="59" t="s">
        <v>395</v>
      </c>
      <c r="C26" s="59"/>
      <c r="D26" s="59"/>
      <c r="E26" s="59"/>
    </row>
    <row r="28" customFormat="false" ht="30" hidden="false" customHeight="true" outlineLevel="0" collapsed="false">
      <c r="B28" s="55" t="s">
        <v>396</v>
      </c>
      <c r="C28" s="55"/>
      <c r="D28" s="55"/>
      <c r="E28" s="55"/>
    </row>
  </sheetData>
  <mergeCells count="21">
    <mergeCell ref="B1:E1"/>
    <mergeCell ref="B2:E2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B14:E14"/>
    <mergeCell ref="B15:E15"/>
    <mergeCell ref="B17:E17"/>
    <mergeCell ref="B18:E18"/>
    <mergeCell ref="B20:E20"/>
    <mergeCell ref="B21:E21"/>
    <mergeCell ref="B23:E23"/>
    <mergeCell ref="B24:E24"/>
    <mergeCell ref="B26:E26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7"/>
  </cols>
  <sheetData>
    <row r="1" customFormat="false" ht="30" hidden="false" customHeight="true" outlineLevel="0" collapsed="false">
      <c r="B1" s="36" t="s">
        <v>397</v>
      </c>
      <c r="C1" s="36"/>
      <c r="D1" s="36"/>
      <c r="E1" s="36"/>
    </row>
    <row r="2" customFormat="false" ht="42" hidden="false" customHeight="true" outlineLevel="0" collapsed="false">
      <c r="B2" s="50" t="s">
        <v>398</v>
      </c>
      <c r="C2" s="50"/>
      <c r="D2" s="50"/>
      <c r="E2" s="50"/>
    </row>
    <row r="4" customFormat="false" ht="21.75" hidden="false" customHeight="true" outlineLevel="0" collapsed="false">
      <c r="B4" s="37" t="s">
        <v>399</v>
      </c>
      <c r="C4" s="37"/>
      <c r="D4" s="37"/>
      <c r="E4" s="37"/>
    </row>
    <row r="5" customFormat="false" ht="30" hidden="false" customHeight="true" outlineLevel="0" collapsed="false">
      <c r="B5" s="53" t="s">
        <v>400</v>
      </c>
      <c r="C5" s="54" t="s">
        <v>401</v>
      </c>
      <c r="D5" s="54"/>
      <c r="E5" s="54"/>
    </row>
    <row r="6" customFormat="false" ht="30" hidden="false" customHeight="true" outlineLevel="0" collapsed="false">
      <c r="B6" s="53" t="s">
        <v>402</v>
      </c>
      <c r="C6" s="54" t="s">
        <v>403</v>
      </c>
      <c r="D6" s="54"/>
      <c r="E6" s="54"/>
    </row>
    <row r="7" customFormat="false" ht="30" hidden="false" customHeight="true" outlineLevel="0" collapsed="false">
      <c r="B7" s="53" t="s">
        <v>404</v>
      </c>
      <c r="C7" s="54" t="s">
        <v>405</v>
      </c>
      <c r="D7" s="54"/>
      <c r="E7" s="54"/>
    </row>
    <row r="8" customFormat="false" ht="30" hidden="false" customHeight="true" outlineLevel="0" collapsed="false">
      <c r="B8" s="53" t="s">
        <v>406</v>
      </c>
      <c r="C8" s="54" t="s">
        <v>407</v>
      </c>
      <c r="D8" s="54"/>
      <c r="E8" s="54"/>
    </row>
    <row r="9" customFormat="false" ht="30" hidden="false" customHeight="true" outlineLevel="0" collapsed="false">
      <c r="B9" s="53" t="s">
        <v>408</v>
      </c>
      <c r="C9" s="54" t="s">
        <v>409</v>
      </c>
      <c r="D9" s="54"/>
      <c r="E9" s="54"/>
    </row>
    <row r="10" customFormat="false" ht="30" hidden="false" customHeight="true" outlineLevel="0" collapsed="false">
      <c r="B10" s="53" t="s">
        <v>410</v>
      </c>
      <c r="C10" s="54" t="s">
        <v>411</v>
      </c>
      <c r="D10" s="54"/>
      <c r="E10" s="54"/>
    </row>
    <row r="12" customFormat="false" ht="21.75" hidden="false" customHeight="true" outlineLevel="0" collapsed="false">
      <c r="B12" s="37" t="s">
        <v>412</v>
      </c>
      <c r="C12" s="37"/>
      <c r="D12" s="37"/>
      <c r="E12" s="37"/>
    </row>
    <row r="13" customFormat="false" ht="19.5" hidden="false" customHeight="true" outlineLevel="0" collapsed="false">
      <c r="B13" s="51" t="s">
        <v>64</v>
      </c>
      <c r="C13" s="52" t="s">
        <v>360</v>
      </c>
      <c r="D13" s="52"/>
      <c r="E13" s="52"/>
    </row>
    <row r="14" customFormat="false" ht="30" hidden="false" customHeight="true" outlineLevel="0" collapsed="false">
      <c r="B14" s="53" t="s">
        <v>413</v>
      </c>
      <c r="C14" s="54" t="s">
        <v>414</v>
      </c>
      <c r="D14" s="54"/>
      <c r="E14" s="54"/>
    </row>
    <row r="15" customFormat="false" ht="30" hidden="false" customHeight="true" outlineLevel="0" collapsed="false">
      <c r="B15" s="53" t="s">
        <v>415</v>
      </c>
      <c r="C15" s="54" t="s">
        <v>416</v>
      </c>
      <c r="D15" s="54"/>
      <c r="E15" s="54"/>
    </row>
    <row r="16" customFormat="false" ht="30" hidden="false" customHeight="true" outlineLevel="0" collapsed="false">
      <c r="B16" s="53" t="s">
        <v>417</v>
      </c>
      <c r="C16" s="54" t="s">
        <v>418</v>
      </c>
      <c r="D16" s="54"/>
      <c r="E16" s="54"/>
    </row>
    <row r="17" customFormat="false" ht="30" hidden="false" customHeight="true" outlineLevel="0" collapsed="false">
      <c r="B17" s="53" t="s">
        <v>419</v>
      </c>
      <c r="C17" s="54" t="s">
        <v>420</v>
      </c>
      <c r="D17" s="54"/>
      <c r="E17" s="54"/>
    </row>
    <row r="18" customFormat="false" ht="30" hidden="false" customHeight="true" outlineLevel="0" collapsed="false">
      <c r="B18" s="53" t="s">
        <v>421</v>
      </c>
      <c r="C18" s="54" t="s">
        <v>422</v>
      </c>
      <c r="D18" s="54"/>
      <c r="E18" s="54"/>
    </row>
    <row r="19" customFormat="false" ht="30" hidden="false" customHeight="true" outlineLevel="0" collapsed="false">
      <c r="B19" s="53" t="s">
        <v>423</v>
      </c>
      <c r="C19" s="54" t="s">
        <v>424</v>
      </c>
      <c r="D19" s="54"/>
      <c r="E19" s="54"/>
    </row>
    <row r="21" customFormat="false" ht="21.75" hidden="false" customHeight="true" outlineLevel="0" collapsed="false">
      <c r="B21" s="37" t="s">
        <v>425</v>
      </c>
      <c r="C21" s="37"/>
      <c r="D21" s="37"/>
      <c r="E21" s="37"/>
    </row>
    <row r="22" customFormat="false" ht="60" hidden="false" customHeight="true" outlineLevel="0" collapsed="false">
      <c r="B22" s="55" t="s">
        <v>426</v>
      </c>
      <c r="C22" s="55"/>
      <c r="D22" s="55"/>
      <c r="E22" s="55"/>
    </row>
    <row r="24" customFormat="false" ht="21.75" hidden="false" customHeight="true" outlineLevel="0" collapsed="false">
      <c r="B24" s="37" t="s">
        <v>427</v>
      </c>
      <c r="C24" s="37"/>
      <c r="D24" s="37"/>
      <c r="E24" s="37"/>
    </row>
    <row r="25" customFormat="false" ht="48" hidden="false" customHeight="true" outlineLevel="0" collapsed="false">
      <c r="B25" s="55" t="s">
        <v>428</v>
      </c>
      <c r="C25" s="55"/>
      <c r="D25" s="55"/>
      <c r="E25" s="55"/>
    </row>
    <row r="27" customFormat="false" ht="21.75" hidden="false" customHeight="true" outlineLevel="0" collapsed="false">
      <c r="B27" s="37" t="s">
        <v>429</v>
      </c>
      <c r="C27" s="37"/>
      <c r="D27" s="37"/>
      <c r="E27" s="37"/>
    </row>
    <row r="28" customFormat="false" ht="57.75" hidden="false" customHeight="true" outlineLevel="0" collapsed="false">
      <c r="B28" s="55" t="s">
        <v>430</v>
      </c>
      <c r="C28" s="55"/>
      <c r="D28" s="55"/>
      <c r="E28" s="55"/>
    </row>
    <row r="30" customFormat="false" ht="55.5" hidden="false" customHeight="true" outlineLevel="0" collapsed="false">
      <c r="B30" s="59" t="s">
        <v>431</v>
      </c>
      <c r="C30" s="59"/>
      <c r="D30" s="59"/>
      <c r="E30" s="59"/>
    </row>
    <row r="32" customFormat="false" ht="48" hidden="false" customHeight="true" outlineLevel="0" collapsed="false">
      <c r="B32" s="55" t="s">
        <v>432</v>
      </c>
      <c r="C32" s="55"/>
      <c r="D32" s="55"/>
      <c r="E32" s="55"/>
    </row>
  </sheetData>
  <mergeCells count="25">
    <mergeCell ref="B1:E1"/>
    <mergeCell ref="B2:E2"/>
    <mergeCell ref="B4:E4"/>
    <mergeCell ref="C5:E5"/>
    <mergeCell ref="C6:E6"/>
    <mergeCell ref="C7:E7"/>
    <mergeCell ref="C8:E8"/>
    <mergeCell ref="C9:E9"/>
    <mergeCell ref="C10:E10"/>
    <mergeCell ref="B12:E12"/>
    <mergeCell ref="C13:E13"/>
    <mergeCell ref="C14:E14"/>
    <mergeCell ref="C15:E15"/>
    <mergeCell ref="C16:E16"/>
    <mergeCell ref="C17:E17"/>
    <mergeCell ref="C18:E18"/>
    <mergeCell ref="C19:E19"/>
    <mergeCell ref="B21:E21"/>
    <mergeCell ref="B22:E22"/>
    <mergeCell ref="B24:E24"/>
    <mergeCell ref="B25:E25"/>
    <mergeCell ref="B27:E27"/>
    <mergeCell ref="B28:E28"/>
    <mergeCell ref="B30:E3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2026-07-09T08:37:23Z</dcterms:created>
  <dc:creator>openpyxl</dc:creator>
  <dc:description/>
  <dc:language>en-US</dc:language>
  <cp:lastModifiedBy/>
  <dcterms:modified xsi:type="dcterms:W3CDTF">2026-08-08T14:03:32Z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